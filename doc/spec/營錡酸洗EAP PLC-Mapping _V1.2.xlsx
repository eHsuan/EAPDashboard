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6"/>
  <workbookPr codeName="ThisWorkbook"/>
  <mc:AlternateContent xmlns:mc="http://schemas.openxmlformats.org/markup-compatibility/2006">
    <mc:Choice Requires="x15">
      <x15ac:absPath xmlns:x15ac="http://schemas.microsoft.com/office/spreadsheetml/2010/11/ac" url="D:\SPEC\EAP\PLC\"/>
    </mc:Choice>
  </mc:AlternateContent>
  <xr:revisionPtr revIDLastSave="0" documentId="13_ncr:1_{79088EAF-3E05-4AAE-9F84-78F121AE0094}" xr6:coauthVersionLast="36" xr6:coauthVersionMax="47" xr10:uidLastSave="{00000000-0000-0000-0000-000000000000}"/>
  <bookViews>
    <workbookView xWindow="0" yWindow="0" windowWidth="28800" windowHeight="14025" tabRatio="657" xr2:uid="{8B304F86-AF06-4128-8601-D0756F6CB731}"/>
  </bookViews>
  <sheets>
    <sheet name="Cover" sheetId="1" r:id="rId1"/>
    <sheet name="Spec." sheetId="8" r:id="rId2"/>
    <sheet name="Flow" sheetId="34" r:id="rId3"/>
    <sheet name="Common Adress" sheetId="33" r:id="rId4"/>
    <sheet name="Loader Adress" sheetId="27" r:id="rId5"/>
    <sheet name="Pickling Adress" sheetId="31" r:id="rId6"/>
    <sheet name="Unoader Adress" sheetId="32" r:id="rId7"/>
  </sheets>
  <definedNames>
    <definedName name="_xlnm.Print_Area" localSheetId="1">Spec.!$A$1:$J$38</definedName>
    <definedName name="_xlnm.Print_Titles" localSheetId="3">'Common Adress'!$A:$J,'Common Adress'!$1:$5</definedName>
    <definedName name="_xlnm.Print_Titles" localSheetId="4">'Loader Adress'!$A:$J,'Loader Adress'!$1:$5</definedName>
    <definedName name="_xlnm.Print_Titles" localSheetId="5">'Pickling Adress'!$A:$J,'Pickling Adress'!$1:$5</definedName>
    <definedName name="_xlnm.Print_Titles" localSheetId="1">Spec.!$1:$5</definedName>
    <definedName name="_xlnm.Print_Titles" localSheetId="6">'Unoader Adress'!$A:$J,'Unoader Adress'!$1:$5</definedName>
  </definedNames>
  <calcPr calcId="191029"/>
</workbook>
</file>

<file path=xl/calcChain.xml><?xml version="1.0" encoding="utf-8"?>
<calcChain xmlns="http://schemas.openxmlformats.org/spreadsheetml/2006/main">
  <c r="B10" i="32" l="1"/>
  <c r="A10" i="32"/>
  <c r="B10" i="31"/>
  <c r="A10" i="31"/>
  <c r="B12" i="32"/>
  <c r="A12" i="32"/>
  <c r="B11" i="32"/>
  <c r="A11" i="32"/>
  <c r="B12" i="31"/>
  <c r="A12" i="31"/>
  <c r="B11" i="31"/>
  <c r="A11" i="31"/>
  <c r="B207" i="33"/>
  <c r="A207" i="33"/>
  <c r="B206" i="33"/>
  <c r="A206" i="33"/>
  <c r="B205" i="33"/>
  <c r="A205" i="33"/>
  <c r="B204" i="33"/>
  <c r="A204" i="33"/>
  <c r="B203" i="33"/>
  <c r="A203" i="33"/>
  <c r="B202" i="33"/>
  <c r="A202" i="33"/>
  <c r="B201" i="33"/>
  <c r="A201" i="33"/>
  <c r="B200" i="33"/>
  <c r="A200" i="33"/>
  <c r="B199" i="33"/>
  <c r="A199" i="33"/>
  <c r="B198" i="33"/>
  <c r="A198" i="33"/>
  <c r="B197" i="33"/>
  <c r="A197" i="33"/>
  <c r="B196" i="33"/>
  <c r="A196" i="33"/>
  <c r="B195" i="33"/>
  <c r="A195" i="33"/>
  <c r="B194" i="33"/>
  <c r="A194" i="33"/>
  <c r="B193" i="33"/>
  <c r="A193" i="33"/>
  <c r="B192" i="33"/>
  <c r="A192" i="33"/>
  <c r="B191" i="33"/>
  <c r="A191" i="33"/>
  <c r="B190" i="33"/>
  <c r="A190" i="33"/>
  <c r="B189" i="33"/>
  <c r="A189" i="33"/>
  <c r="B188" i="33"/>
  <c r="A188" i="33"/>
  <c r="B187" i="33"/>
  <c r="A187" i="33"/>
  <c r="B186" i="33"/>
  <c r="A186" i="33"/>
  <c r="B185" i="33"/>
  <c r="A185" i="33"/>
  <c r="B184" i="33"/>
  <c r="A184" i="33"/>
  <c r="B183" i="33"/>
  <c r="A183" i="33"/>
  <c r="B182" i="33"/>
  <c r="A182" i="33"/>
  <c r="B181" i="33"/>
  <c r="A181" i="33"/>
  <c r="B180" i="33"/>
  <c r="A180" i="33"/>
  <c r="B179" i="33"/>
  <c r="A179" i="33"/>
  <c r="B178" i="33"/>
  <c r="A178" i="33"/>
  <c r="B177" i="33"/>
  <c r="A177" i="33"/>
  <c r="B176" i="33"/>
  <c r="A176" i="33"/>
  <c r="B175" i="33"/>
  <c r="A175" i="33"/>
  <c r="B174" i="33"/>
  <c r="A174" i="33"/>
  <c r="B173" i="33"/>
  <c r="A173" i="33"/>
  <c r="B172" i="33"/>
  <c r="A172" i="33"/>
  <c r="B171" i="33"/>
  <c r="A171" i="33"/>
  <c r="B170" i="33"/>
  <c r="A170" i="33"/>
  <c r="B169" i="33"/>
  <c r="A169" i="33"/>
  <c r="B168" i="33"/>
  <c r="A168" i="33"/>
  <c r="B167" i="33"/>
  <c r="A167" i="33"/>
  <c r="B166" i="33"/>
  <c r="A166" i="33"/>
  <c r="B165" i="33"/>
  <c r="A165" i="33"/>
  <c r="B164" i="33"/>
  <c r="A164" i="33"/>
  <c r="B163" i="33"/>
  <c r="A163" i="33"/>
  <c r="B162" i="33"/>
  <c r="A162" i="33"/>
  <c r="B161" i="33"/>
  <c r="A161" i="33"/>
  <c r="B160" i="33"/>
  <c r="A160" i="33"/>
  <c r="B159" i="33"/>
  <c r="A159" i="33"/>
  <c r="B158" i="33"/>
  <c r="A158" i="33"/>
  <c r="B157" i="33"/>
  <c r="A157" i="33"/>
  <c r="B156" i="33"/>
  <c r="A156" i="33"/>
  <c r="B155" i="33"/>
  <c r="A155" i="33"/>
  <c r="B154" i="33"/>
  <c r="A154" i="33"/>
  <c r="B153" i="33"/>
  <c r="A153" i="33"/>
  <c r="B152" i="33"/>
  <c r="A152" i="33"/>
  <c r="B151" i="33"/>
  <c r="A151" i="33"/>
  <c r="B150" i="33"/>
  <c r="A150" i="33"/>
  <c r="B149" i="33"/>
  <c r="A149" i="33"/>
  <c r="B148" i="33"/>
  <c r="A148" i="33"/>
  <c r="B147" i="33"/>
  <c r="A147" i="33"/>
  <c r="B146" i="33"/>
  <c r="A146" i="33"/>
  <c r="B145" i="33"/>
  <c r="A145" i="33"/>
  <c r="B144" i="33"/>
  <c r="A144" i="33"/>
  <c r="B143" i="33"/>
  <c r="A143" i="33"/>
  <c r="B142" i="33"/>
  <c r="A142" i="33"/>
  <c r="B141" i="33"/>
  <c r="A141" i="33"/>
  <c r="B140" i="33"/>
  <c r="A140" i="33"/>
  <c r="B139" i="33"/>
  <c r="A139" i="33"/>
  <c r="B138" i="33"/>
  <c r="A138" i="33"/>
  <c r="B137" i="33"/>
  <c r="A137" i="33"/>
  <c r="B136" i="33"/>
  <c r="A136" i="33"/>
  <c r="B135" i="33"/>
  <c r="A135" i="33"/>
  <c r="B134" i="33"/>
  <c r="A134" i="33"/>
  <c r="B133" i="33"/>
  <c r="A133" i="33"/>
  <c r="B132" i="33"/>
  <c r="A132" i="33"/>
  <c r="B131" i="33"/>
  <c r="A131" i="33"/>
  <c r="B130" i="33"/>
  <c r="A130" i="33"/>
  <c r="B129" i="33"/>
  <c r="A129" i="33"/>
  <c r="B128" i="33"/>
  <c r="A128" i="33"/>
  <c r="B127" i="33"/>
  <c r="A127" i="33"/>
  <c r="B126" i="33"/>
  <c r="A126" i="33"/>
  <c r="B125" i="33"/>
  <c r="A125" i="33"/>
  <c r="B124" i="33"/>
  <c r="A124" i="33"/>
  <c r="B123" i="33"/>
  <c r="A123" i="33"/>
  <c r="B122" i="33"/>
  <c r="A122" i="33"/>
  <c r="B121" i="33"/>
  <c r="A121" i="33"/>
  <c r="B120" i="33"/>
  <c r="A120" i="33"/>
  <c r="B119" i="33"/>
  <c r="A119" i="33"/>
  <c r="B118" i="33"/>
  <c r="A118" i="33"/>
  <c r="B117" i="33"/>
  <c r="A117" i="33"/>
  <c r="B116" i="33"/>
  <c r="A116" i="33"/>
  <c r="B115" i="33"/>
  <c r="A115" i="33"/>
  <c r="B114" i="33"/>
  <c r="A114" i="33"/>
  <c r="B113" i="33"/>
  <c r="A113" i="33"/>
  <c r="B112" i="33"/>
  <c r="A112" i="33"/>
  <c r="B111" i="33"/>
  <c r="A111" i="33"/>
  <c r="B110" i="33"/>
  <c r="A110" i="33"/>
  <c r="B109" i="33"/>
  <c r="A109" i="33"/>
  <c r="B108" i="33"/>
  <c r="A108" i="33"/>
  <c r="B107" i="33"/>
  <c r="A107" i="33"/>
  <c r="B106" i="33"/>
  <c r="A106" i="33"/>
  <c r="B105" i="33"/>
  <c r="A105" i="33"/>
  <c r="B104" i="33"/>
  <c r="A104" i="33"/>
  <c r="B103" i="33"/>
  <c r="A103" i="33"/>
  <c r="B102" i="33"/>
  <c r="A102" i="33"/>
  <c r="B101" i="33"/>
  <c r="A101" i="33"/>
  <c r="B100" i="33"/>
  <c r="A100" i="33"/>
  <c r="B99" i="33"/>
  <c r="A99" i="33"/>
  <c r="B98" i="33"/>
  <c r="A98" i="33"/>
  <c r="B97" i="33"/>
  <c r="A97" i="33"/>
  <c r="B96" i="33"/>
  <c r="A96" i="33"/>
  <c r="B95" i="33"/>
  <c r="A95" i="33"/>
  <c r="B94" i="33"/>
  <c r="A94" i="33"/>
  <c r="B93" i="33"/>
  <c r="A93" i="33"/>
  <c r="B92" i="33"/>
  <c r="A92" i="33"/>
  <c r="B91" i="33"/>
  <c r="A91" i="33"/>
  <c r="B90" i="33"/>
  <c r="A90" i="33"/>
  <c r="B89" i="33"/>
  <c r="A89" i="33"/>
  <c r="B88" i="33"/>
  <c r="A88" i="33"/>
  <c r="B87" i="33"/>
  <c r="A87" i="33"/>
  <c r="B86" i="33"/>
  <c r="A86" i="33"/>
  <c r="B85" i="33"/>
  <c r="A85" i="33"/>
  <c r="B84" i="33"/>
  <c r="A84" i="33"/>
  <c r="B83" i="33"/>
  <c r="A83" i="33"/>
  <c r="B82" i="33"/>
  <c r="A82" i="33"/>
  <c r="B81" i="33"/>
  <c r="A81" i="33"/>
  <c r="B80" i="33"/>
  <c r="A80" i="33"/>
  <c r="B79" i="33"/>
  <c r="A79" i="33"/>
  <c r="B78" i="33"/>
  <c r="A78" i="33"/>
  <c r="B77" i="33"/>
  <c r="A77" i="33"/>
  <c r="B76" i="33"/>
  <c r="A76" i="33"/>
  <c r="B75" i="33"/>
  <c r="A75" i="33"/>
  <c r="B74" i="33"/>
  <c r="A74" i="33"/>
  <c r="B73" i="33"/>
  <c r="A73" i="33"/>
  <c r="B72" i="33"/>
  <c r="A72" i="33"/>
  <c r="B71" i="33"/>
  <c r="A71" i="33"/>
  <c r="B70" i="33"/>
  <c r="A70" i="33"/>
  <c r="B69" i="33"/>
  <c r="A69" i="33"/>
  <c r="B68" i="33"/>
  <c r="A68" i="33"/>
  <c r="B67" i="33"/>
  <c r="A67" i="33"/>
  <c r="B66" i="33"/>
  <c r="A66" i="33"/>
  <c r="B65" i="33"/>
  <c r="A65" i="33"/>
  <c r="B64" i="33"/>
  <c r="A64" i="33"/>
  <c r="B63" i="33"/>
  <c r="A63" i="33"/>
  <c r="B62" i="33"/>
  <c r="A62" i="33"/>
  <c r="B61" i="33"/>
  <c r="A61" i="33"/>
  <c r="B60" i="33"/>
  <c r="A60" i="33"/>
  <c r="B59" i="33"/>
  <c r="A59" i="33"/>
  <c r="B58" i="33"/>
  <c r="A58" i="33"/>
  <c r="B57" i="33"/>
  <c r="A57" i="33"/>
  <c r="B56" i="33"/>
  <c r="A56" i="33"/>
  <c r="B55" i="33"/>
  <c r="A55" i="33"/>
  <c r="B54" i="33"/>
  <c r="A54" i="33"/>
  <c r="B53" i="33"/>
  <c r="A53" i="33"/>
  <c r="B52" i="33"/>
  <c r="A52" i="33"/>
  <c r="B51" i="33"/>
  <c r="A51" i="33"/>
  <c r="B50" i="33"/>
  <c r="A50" i="33"/>
  <c r="B49" i="33"/>
  <c r="A49" i="33"/>
  <c r="B48" i="33"/>
  <c r="A48" i="33"/>
  <c r="B47" i="33"/>
  <c r="A47" i="33"/>
  <c r="B46" i="33"/>
  <c r="A46" i="33"/>
  <c r="B45" i="33"/>
  <c r="A45" i="33"/>
  <c r="B44" i="33"/>
  <c r="A44" i="33"/>
  <c r="B43" i="33"/>
  <c r="A43" i="33"/>
  <c r="B42" i="33"/>
  <c r="A42" i="33"/>
  <c r="B41" i="33"/>
  <c r="A41" i="33"/>
  <c r="B40" i="33"/>
  <c r="A40" i="33"/>
  <c r="B39" i="33"/>
  <c r="A39" i="33"/>
  <c r="B38" i="33"/>
  <c r="A38" i="33"/>
  <c r="B37" i="33"/>
  <c r="A37" i="33"/>
  <c r="B36" i="33"/>
  <c r="A36" i="33"/>
  <c r="B35" i="33"/>
  <c r="A35" i="33"/>
  <c r="B34" i="33"/>
  <c r="A34" i="33"/>
  <c r="B33" i="33"/>
  <c r="A33" i="33"/>
  <c r="B32" i="33"/>
  <c r="A32" i="33"/>
  <c r="B31" i="33"/>
  <c r="A31" i="33"/>
  <c r="B30" i="33"/>
  <c r="A30" i="33"/>
  <c r="B29" i="33"/>
  <c r="A29" i="33"/>
  <c r="B28" i="33"/>
  <c r="A28" i="33"/>
  <c r="B26" i="33"/>
  <c r="A26" i="33"/>
  <c r="B25" i="33"/>
  <c r="A25" i="33"/>
  <c r="B24" i="33"/>
  <c r="A24" i="33"/>
  <c r="B23" i="33"/>
  <c r="A23" i="33"/>
  <c r="B22" i="33"/>
  <c r="A22" i="33"/>
  <c r="B21" i="33"/>
  <c r="A21" i="33"/>
  <c r="B20" i="33"/>
  <c r="A20" i="33"/>
  <c r="B19" i="33"/>
  <c r="A19" i="33"/>
  <c r="B18" i="33"/>
  <c r="A18" i="33"/>
  <c r="B17" i="33"/>
  <c r="A17" i="33"/>
  <c r="B16" i="33"/>
  <c r="A16" i="33"/>
  <c r="B15" i="33"/>
  <c r="A15" i="33"/>
  <c r="B14" i="33"/>
  <c r="A14" i="33"/>
  <c r="B13" i="33"/>
  <c r="A13" i="33"/>
  <c r="B12" i="33"/>
  <c r="A12" i="33"/>
  <c r="B11" i="33"/>
  <c r="A11" i="33"/>
  <c r="B10" i="33"/>
  <c r="A10" i="33"/>
  <c r="B9" i="33"/>
  <c r="A9" i="33"/>
  <c r="B8" i="33"/>
  <c r="A8" i="33"/>
  <c r="B7" i="33"/>
  <c r="A7" i="33"/>
  <c r="E2" i="33"/>
  <c r="B12" i="27"/>
  <c r="A12" i="27"/>
  <c r="B11" i="27"/>
  <c r="A11" i="27"/>
  <c r="B357" i="32" l="1"/>
  <c r="A357" i="32"/>
  <c r="B356" i="32"/>
  <c r="A356" i="32"/>
  <c r="B355" i="32"/>
  <c r="A355" i="32"/>
  <c r="B354" i="32"/>
  <c r="A354" i="32"/>
  <c r="B353" i="32"/>
  <c r="A353" i="32"/>
  <c r="B352" i="32"/>
  <c r="A352" i="32"/>
  <c r="B351" i="32"/>
  <c r="A351" i="32"/>
  <c r="B350" i="32"/>
  <c r="A350" i="32"/>
  <c r="B349" i="32"/>
  <c r="A349" i="32"/>
  <c r="B348" i="32"/>
  <c r="A348" i="32"/>
  <c r="B347" i="32"/>
  <c r="A347" i="32"/>
  <c r="B346" i="32"/>
  <c r="A346" i="32"/>
  <c r="B345" i="32"/>
  <c r="A345" i="32"/>
  <c r="B344" i="32"/>
  <c r="A344" i="32"/>
  <c r="B343" i="32"/>
  <c r="A343" i="32"/>
  <c r="B342" i="32"/>
  <c r="A342" i="32"/>
  <c r="B341" i="32"/>
  <c r="A341" i="32"/>
  <c r="B340" i="32"/>
  <c r="A340" i="32"/>
  <c r="B339" i="32"/>
  <c r="A339" i="32"/>
  <c r="B338" i="32"/>
  <c r="A338" i="32"/>
  <c r="B337" i="32"/>
  <c r="A337" i="32"/>
  <c r="B336" i="32"/>
  <c r="A336" i="32"/>
  <c r="B335" i="32"/>
  <c r="A335" i="32"/>
  <c r="B334" i="32"/>
  <c r="A334" i="32"/>
  <c r="B333" i="32"/>
  <c r="A333" i="32"/>
  <c r="B332" i="32"/>
  <c r="A332" i="32"/>
  <c r="B331" i="32"/>
  <c r="A331" i="32"/>
  <c r="B330" i="32"/>
  <c r="A330" i="32"/>
  <c r="B329" i="32"/>
  <c r="A329" i="32"/>
  <c r="B328" i="32"/>
  <c r="A328" i="32"/>
  <c r="B327" i="32"/>
  <c r="A327" i="32"/>
  <c r="B326" i="32"/>
  <c r="A326" i="32"/>
  <c r="B325" i="32"/>
  <c r="A325" i="32"/>
  <c r="B324" i="32"/>
  <c r="A324" i="32"/>
  <c r="B323" i="32"/>
  <c r="A323" i="32"/>
  <c r="B322" i="32"/>
  <c r="A322" i="32"/>
  <c r="B321" i="32"/>
  <c r="A321" i="32"/>
  <c r="B320" i="32"/>
  <c r="A320" i="32"/>
  <c r="B319" i="32"/>
  <c r="A319" i="32"/>
  <c r="B318" i="32"/>
  <c r="A318" i="32"/>
  <c r="B316" i="32"/>
  <c r="A316" i="32"/>
  <c r="B315" i="32"/>
  <c r="A315" i="32"/>
  <c r="B314" i="32"/>
  <c r="A314" i="32"/>
  <c r="B313" i="32"/>
  <c r="A313" i="32"/>
  <c r="B312" i="32"/>
  <c r="A312" i="32"/>
  <c r="B311" i="32"/>
  <c r="A311" i="32"/>
  <c r="B310" i="32"/>
  <c r="A310" i="32"/>
  <c r="B309" i="32"/>
  <c r="A309" i="32"/>
  <c r="B308" i="32"/>
  <c r="A308" i="32"/>
  <c r="B307" i="32"/>
  <c r="A307" i="32"/>
  <c r="B306" i="32"/>
  <c r="A306" i="32"/>
  <c r="B305" i="32"/>
  <c r="A305" i="32"/>
  <c r="B304" i="32"/>
  <c r="A304" i="32"/>
  <c r="B303" i="32"/>
  <c r="A303" i="32"/>
  <c r="B302" i="32"/>
  <c r="A302" i="32"/>
  <c r="B301" i="32"/>
  <c r="A301" i="32"/>
  <c r="B300" i="32"/>
  <c r="A300" i="32"/>
  <c r="B299" i="32"/>
  <c r="A299" i="32"/>
  <c r="B298" i="32"/>
  <c r="A298" i="32"/>
  <c r="B297" i="32"/>
  <c r="A297" i="32"/>
  <c r="B295" i="32"/>
  <c r="A295" i="32"/>
  <c r="B294" i="32"/>
  <c r="A294" i="32"/>
  <c r="B293" i="32"/>
  <c r="A293" i="32"/>
  <c r="B292" i="32"/>
  <c r="A292" i="32"/>
  <c r="B291" i="32"/>
  <c r="A291" i="32"/>
  <c r="B290" i="32"/>
  <c r="A290" i="32"/>
  <c r="B289" i="32"/>
  <c r="A289" i="32"/>
  <c r="B288" i="32"/>
  <c r="A288" i="32"/>
  <c r="B287" i="32"/>
  <c r="A287" i="32"/>
  <c r="B286" i="32"/>
  <c r="A286" i="32"/>
  <c r="B285" i="32"/>
  <c r="A285" i="32"/>
  <c r="B284" i="32"/>
  <c r="A284" i="32"/>
  <c r="B283" i="32"/>
  <c r="A283" i="32"/>
  <c r="B282" i="32"/>
  <c r="A282" i="32"/>
  <c r="B281" i="32"/>
  <c r="A281" i="32"/>
  <c r="B280" i="32"/>
  <c r="A280" i="32"/>
  <c r="B279" i="32"/>
  <c r="A279" i="32"/>
  <c r="B278" i="32"/>
  <c r="A278" i="32"/>
  <c r="B277" i="32"/>
  <c r="A277" i="32"/>
  <c r="B276" i="32"/>
  <c r="A276" i="32"/>
  <c r="B275" i="32"/>
  <c r="A275" i="32"/>
  <c r="B274" i="32"/>
  <c r="A274" i="32"/>
  <c r="B273" i="32"/>
  <c r="A273" i="32"/>
  <c r="B272" i="32"/>
  <c r="A272" i="32"/>
  <c r="B271" i="32"/>
  <c r="A271" i="32"/>
  <c r="B270" i="32"/>
  <c r="A270" i="32"/>
  <c r="B269" i="32"/>
  <c r="A269" i="32"/>
  <c r="B268" i="32"/>
  <c r="A268" i="32"/>
  <c r="B267" i="32"/>
  <c r="A267" i="32"/>
  <c r="B266" i="32"/>
  <c r="A266" i="32"/>
  <c r="B264" i="32"/>
  <c r="A264" i="32"/>
  <c r="B263" i="32"/>
  <c r="A263" i="32"/>
  <c r="B262" i="32"/>
  <c r="A262" i="32"/>
  <c r="B261" i="32"/>
  <c r="A261" i="32"/>
  <c r="B260" i="32"/>
  <c r="A260" i="32"/>
  <c r="B259" i="32"/>
  <c r="A259" i="32"/>
  <c r="B258" i="32"/>
  <c r="A258" i="32"/>
  <c r="B257" i="32"/>
  <c r="A257" i="32"/>
  <c r="B256" i="32"/>
  <c r="A256" i="32"/>
  <c r="B255" i="32"/>
  <c r="A255" i="32"/>
  <c r="B254" i="32"/>
  <c r="A254" i="32"/>
  <c r="B253" i="32"/>
  <c r="A253" i="32"/>
  <c r="B252" i="32"/>
  <c r="A252" i="32"/>
  <c r="B251" i="32"/>
  <c r="A251" i="32"/>
  <c r="B250" i="32"/>
  <c r="A250" i="32"/>
  <c r="B249" i="32"/>
  <c r="A249" i="32"/>
  <c r="B248" i="32"/>
  <c r="A248" i="32"/>
  <c r="B247" i="32"/>
  <c r="A247" i="32"/>
  <c r="B246" i="32"/>
  <c r="A246" i="32"/>
  <c r="B245" i="32"/>
  <c r="A245" i="32"/>
  <c r="B244" i="32"/>
  <c r="A244" i="32"/>
  <c r="B243" i="32"/>
  <c r="A243" i="32"/>
  <c r="B242" i="32"/>
  <c r="A242" i="32"/>
  <c r="B241" i="32"/>
  <c r="A241" i="32"/>
  <c r="B240" i="32"/>
  <c r="A240" i="32"/>
  <c r="B239" i="32"/>
  <c r="A239" i="32"/>
  <c r="B238" i="32"/>
  <c r="A238" i="32"/>
  <c r="B237" i="32"/>
  <c r="A237" i="32"/>
  <c r="B236" i="32"/>
  <c r="A236" i="32"/>
  <c r="B235" i="32"/>
  <c r="A235" i="32"/>
  <c r="B234" i="32"/>
  <c r="A234" i="32"/>
  <c r="B233" i="32"/>
  <c r="A233" i="32"/>
  <c r="B232" i="32"/>
  <c r="A232" i="32"/>
  <c r="B231" i="32"/>
  <c r="A231" i="32"/>
  <c r="B230" i="32"/>
  <c r="A230" i="32"/>
  <c r="B229" i="32"/>
  <c r="A229" i="32"/>
  <c r="B228" i="32"/>
  <c r="A228" i="32"/>
  <c r="B227" i="32"/>
  <c r="A227" i="32"/>
  <c r="B226" i="32"/>
  <c r="A226" i="32"/>
  <c r="B225" i="32"/>
  <c r="A225" i="32"/>
  <c r="B224" i="32"/>
  <c r="A224" i="32"/>
  <c r="B223" i="32"/>
  <c r="A223" i="32"/>
  <c r="B222" i="32"/>
  <c r="A222" i="32"/>
  <c r="B221" i="32"/>
  <c r="A221" i="32"/>
  <c r="B220" i="32"/>
  <c r="A220" i="32"/>
  <c r="B219" i="32"/>
  <c r="A219" i="32"/>
  <c r="B218" i="32"/>
  <c r="A218" i="32"/>
  <c r="B217" i="32"/>
  <c r="A217" i="32"/>
  <c r="B216" i="32"/>
  <c r="A216" i="32"/>
  <c r="B215" i="32"/>
  <c r="A215" i="32"/>
  <c r="B214" i="32"/>
  <c r="A214" i="32"/>
  <c r="B213" i="32"/>
  <c r="A213" i="32"/>
  <c r="B212" i="32"/>
  <c r="A212" i="32"/>
  <c r="B211" i="32"/>
  <c r="A211" i="32"/>
  <c r="B210" i="32"/>
  <c r="A210" i="32"/>
  <c r="B209" i="32"/>
  <c r="A209" i="32"/>
  <c r="B208" i="32"/>
  <c r="A208" i="32"/>
  <c r="B207" i="32"/>
  <c r="A207" i="32"/>
  <c r="B206" i="32"/>
  <c r="A206" i="32"/>
  <c r="B205" i="32"/>
  <c r="A205" i="32"/>
  <c r="B204" i="32"/>
  <c r="A204" i="32"/>
  <c r="B203" i="32"/>
  <c r="A203" i="32"/>
  <c r="B202" i="32"/>
  <c r="A202" i="32"/>
  <c r="B201" i="32"/>
  <c r="A201" i="32"/>
  <c r="B200" i="32"/>
  <c r="A200" i="32"/>
  <c r="B199" i="32"/>
  <c r="A199" i="32"/>
  <c r="B198" i="32"/>
  <c r="A198" i="32"/>
  <c r="B197" i="32"/>
  <c r="A197" i="32"/>
  <c r="B196" i="32"/>
  <c r="A196" i="32"/>
  <c r="B195" i="32"/>
  <c r="A195" i="32"/>
  <c r="B194" i="32"/>
  <c r="A194" i="32"/>
  <c r="B193" i="32"/>
  <c r="A193" i="32"/>
  <c r="B192" i="32"/>
  <c r="A192" i="32"/>
  <c r="B191" i="32"/>
  <c r="A191" i="32"/>
  <c r="B190" i="32"/>
  <c r="A190" i="32"/>
  <c r="B189" i="32"/>
  <c r="A189" i="32"/>
  <c r="B188" i="32"/>
  <c r="A188" i="32"/>
  <c r="B187" i="32"/>
  <c r="A187" i="32"/>
  <c r="B186" i="32"/>
  <c r="A186" i="32"/>
  <c r="B185" i="32"/>
  <c r="A185" i="32"/>
  <c r="B184" i="32"/>
  <c r="A184" i="32"/>
  <c r="B183" i="32"/>
  <c r="A183" i="32"/>
  <c r="B182" i="32"/>
  <c r="A182" i="32"/>
  <c r="B181" i="32"/>
  <c r="A181" i="32"/>
  <c r="B180" i="32"/>
  <c r="A180" i="32"/>
  <c r="B179" i="32"/>
  <c r="A179" i="32"/>
  <c r="B178" i="32"/>
  <c r="A178" i="32"/>
  <c r="B177" i="32"/>
  <c r="A177" i="32"/>
  <c r="B176" i="32"/>
  <c r="A176" i="32"/>
  <c r="B175" i="32"/>
  <c r="A175" i="32"/>
  <c r="B174" i="32"/>
  <c r="A174" i="32"/>
  <c r="B173" i="32"/>
  <c r="A173" i="32"/>
  <c r="B172" i="32"/>
  <c r="A172" i="32"/>
  <c r="B171" i="32"/>
  <c r="A171" i="32"/>
  <c r="B170" i="32"/>
  <c r="A170" i="32"/>
  <c r="B169" i="32"/>
  <c r="A169" i="32"/>
  <c r="B168" i="32"/>
  <c r="A168" i="32"/>
  <c r="B167" i="32"/>
  <c r="A167" i="32"/>
  <c r="B166" i="32"/>
  <c r="A166" i="32"/>
  <c r="B165" i="32"/>
  <c r="A165" i="32"/>
  <c r="B164" i="32"/>
  <c r="A164" i="32"/>
  <c r="B163" i="32"/>
  <c r="A163" i="32"/>
  <c r="B162" i="32"/>
  <c r="A162" i="32"/>
  <c r="B161" i="32"/>
  <c r="A161" i="32"/>
  <c r="B160" i="32"/>
  <c r="A160" i="32"/>
  <c r="B159" i="32"/>
  <c r="A159" i="32"/>
  <c r="B158" i="32"/>
  <c r="A158" i="32"/>
  <c r="B157" i="32"/>
  <c r="A157" i="32"/>
  <c r="B156" i="32"/>
  <c r="A156" i="32"/>
  <c r="B155" i="32"/>
  <c r="A155" i="32"/>
  <c r="B154" i="32"/>
  <c r="A154" i="32"/>
  <c r="B153" i="32"/>
  <c r="A153" i="32"/>
  <c r="B152" i="32"/>
  <c r="A152" i="32"/>
  <c r="B151" i="32"/>
  <c r="A151" i="32"/>
  <c r="B150" i="32"/>
  <c r="A150" i="32"/>
  <c r="B149" i="32"/>
  <c r="A149" i="32"/>
  <c r="B148" i="32"/>
  <c r="A148" i="32"/>
  <c r="B147" i="32"/>
  <c r="A147" i="32"/>
  <c r="B146" i="32"/>
  <c r="A146" i="32"/>
  <c r="B145" i="32"/>
  <c r="A145" i="32"/>
  <c r="B144" i="32"/>
  <c r="A144" i="32"/>
  <c r="B143" i="32"/>
  <c r="A143" i="32"/>
  <c r="B142" i="32"/>
  <c r="A142" i="32"/>
  <c r="B141" i="32"/>
  <c r="A141" i="32"/>
  <c r="B140" i="32"/>
  <c r="A140" i="32"/>
  <c r="B139" i="32"/>
  <c r="A139" i="32"/>
  <c r="B138" i="32"/>
  <c r="A138" i="32"/>
  <c r="B137" i="32"/>
  <c r="A137" i="32"/>
  <c r="B136" i="32"/>
  <c r="A136" i="32"/>
  <c r="B135" i="32"/>
  <c r="A135" i="32"/>
  <c r="B134" i="32"/>
  <c r="A134" i="32"/>
  <c r="B133" i="32"/>
  <c r="A133" i="32"/>
  <c r="B132" i="32"/>
  <c r="A132" i="32"/>
  <c r="B131" i="32"/>
  <c r="A131" i="32"/>
  <c r="B130" i="32"/>
  <c r="A130" i="32"/>
  <c r="B129" i="32"/>
  <c r="A129" i="32"/>
  <c r="B128" i="32"/>
  <c r="A128" i="32"/>
  <c r="B127" i="32"/>
  <c r="A127" i="32"/>
  <c r="B126" i="32"/>
  <c r="A126" i="32"/>
  <c r="B125" i="32"/>
  <c r="A125" i="32"/>
  <c r="B124" i="32"/>
  <c r="A124" i="32"/>
  <c r="B123" i="32"/>
  <c r="A123" i="32"/>
  <c r="B122" i="32"/>
  <c r="A122" i="32"/>
  <c r="B121" i="32"/>
  <c r="A121" i="32"/>
  <c r="B120" i="32"/>
  <c r="A120" i="32"/>
  <c r="B119" i="32"/>
  <c r="A119" i="32"/>
  <c r="B118" i="32"/>
  <c r="A118" i="32"/>
  <c r="B117" i="32"/>
  <c r="A117" i="32"/>
  <c r="B116" i="32"/>
  <c r="A116" i="32"/>
  <c r="B115" i="32"/>
  <c r="A115" i="32"/>
  <c r="B114" i="32"/>
  <c r="A114" i="32"/>
  <c r="B113" i="32"/>
  <c r="A113" i="32"/>
  <c r="B112" i="32"/>
  <c r="A112" i="32"/>
  <c r="B111" i="32"/>
  <c r="A111" i="32"/>
  <c r="B110" i="32"/>
  <c r="A110" i="32"/>
  <c r="B109" i="32"/>
  <c r="A109" i="32"/>
  <c r="B108" i="32"/>
  <c r="A108" i="32"/>
  <c r="B107" i="32"/>
  <c r="A107" i="32"/>
  <c r="B106" i="32"/>
  <c r="A106" i="32"/>
  <c r="B105" i="32"/>
  <c r="A105" i="32"/>
  <c r="B104" i="32"/>
  <c r="A104" i="32"/>
  <c r="B103" i="32"/>
  <c r="A103" i="32"/>
  <c r="B102" i="32"/>
  <c r="A102" i="32"/>
  <c r="B101" i="32"/>
  <c r="A101" i="32"/>
  <c r="B100" i="32"/>
  <c r="A100" i="32"/>
  <c r="B99" i="32"/>
  <c r="A99" i="32"/>
  <c r="B98" i="32"/>
  <c r="A98" i="32"/>
  <c r="B97" i="32"/>
  <c r="A97" i="32"/>
  <c r="B96" i="32"/>
  <c r="A96" i="32"/>
  <c r="B95" i="32"/>
  <c r="A95" i="32"/>
  <c r="B94" i="32"/>
  <c r="A94" i="32"/>
  <c r="B93" i="32"/>
  <c r="A93" i="32"/>
  <c r="B92" i="32"/>
  <c r="A92" i="32"/>
  <c r="B91" i="32"/>
  <c r="A91" i="32"/>
  <c r="B90" i="32"/>
  <c r="A90" i="32"/>
  <c r="B89" i="32"/>
  <c r="A89" i="32"/>
  <c r="B88" i="32"/>
  <c r="A88" i="32"/>
  <c r="B87" i="32"/>
  <c r="A87" i="32"/>
  <c r="B86" i="32"/>
  <c r="A86" i="32"/>
  <c r="B85" i="32"/>
  <c r="A85" i="32"/>
  <c r="B84" i="32"/>
  <c r="A84" i="32"/>
  <c r="B83" i="32"/>
  <c r="A83" i="32"/>
  <c r="B82" i="32"/>
  <c r="A82" i="32"/>
  <c r="B81" i="32"/>
  <c r="A81" i="32"/>
  <c r="B80" i="32"/>
  <c r="A80" i="32"/>
  <c r="B79" i="32"/>
  <c r="A79" i="32"/>
  <c r="B78" i="32"/>
  <c r="A78" i="32"/>
  <c r="B77" i="32"/>
  <c r="A77" i="32"/>
  <c r="B76" i="32"/>
  <c r="A76" i="32"/>
  <c r="B75" i="32"/>
  <c r="A75" i="32"/>
  <c r="B74" i="32"/>
  <c r="A74" i="32"/>
  <c r="B73" i="32"/>
  <c r="A73" i="32"/>
  <c r="B72" i="32"/>
  <c r="A72" i="32"/>
  <c r="B71" i="32"/>
  <c r="A71" i="32"/>
  <c r="B70" i="32"/>
  <c r="A70" i="32"/>
  <c r="B69" i="32"/>
  <c r="A69" i="32"/>
  <c r="B68" i="32"/>
  <c r="A68" i="32"/>
  <c r="B67" i="32"/>
  <c r="A67" i="32"/>
  <c r="B66" i="32"/>
  <c r="A66" i="32"/>
  <c r="B65" i="32"/>
  <c r="A65" i="32"/>
  <c r="B63" i="32"/>
  <c r="A63" i="32"/>
  <c r="B62" i="32"/>
  <c r="A62" i="32"/>
  <c r="B61" i="32"/>
  <c r="A61" i="32"/>
  <c r="B60" i="32"/>
  <c r="A60" i="32"/>
  <c r="B59" i="32"/>
  <c r="A59" i="32"/>
  <c r="B58" i="32"/>
  <c r="A58" i="32"/>
  <c r="B57" i="32"/>
  <c r="A57" i="32"/>
  <c r="B56" i="32"/>
  <c r="A56" i="32"/>
  <c r="B55" i="32"/>
  <c r="A55" i="32"/>
  <c r="B54" i="32"/>
  <c r="A54" i="32"/>
  <c r="B53" i="32"/>
  <c r="A53" i="32"/>
  <c r="B52" i="32"/>
  <c r="A52" i="32"/>
  <c r="B51" i="32"/>
  <c r="A51" i="32"/>
  <c r="B50" i="32"/>
  <c r="A50" i="32"/>
  <c r="B49" i="32"/>
  <c r="A49" i="32"/>
  <c r="B48" i="32"/>
  <c r="A48" i="32"/>
  <c r="B47" i="32"/>
  <c r="A47" i="32"/>
  <c r="B46" i="32"/>
  <c r="A46" i="32"/>
  <c r="B45" i="32"/>
  <c r="A45" i="32"/>
  <c r="B44" i="32"/>
  <c r="A44" i="32"/>
  <c r="B43" i="32"/>
  <c r="A43" i="32"/>
  <c r="B42" i="32"/>
  <c r="A42" i="32"/>
  <c r="B41" i="32"/>
  <c r="A41" i="32"/>
  <c r="B40" i="32"/>
  <c r="A40" i="32"/>
  <c r="B39" i="32"/>
  <c r="A39" i="32"/>
  <c r="B38" i="32"/>
  <c r="A38" i="32"/>
  <c r="B37" i="32"/>
  <c r="A37" i="32"/>
  <c r="B36" i="32"/>
  <c r="A36" i="32"/>
  <c r="B35" i="32"/>
  <c r="A35" i="32"/>
  <c r="B34" i="32"/>
  <c r="A34" i="32"/>
  <c r="B33" i="32"/>
  <c r="A33" i="32"/>
  <c r="B32" i="32"/>
  <c r="A32" i="32"/>
  <c r="B31" i="32"/>
  <c r="A31" i="32"/>
  <c r="B30" i="32"/>
  <c r="A30" i="32"/>
  <c r="B29" i="32"/>
  <c r="A29" i="32"/>
  <c r="B28" i="32"/>
  <c r="A28" i="32"/>
  <c r="B27" i="32"/>
  <c r="A27" i="32"/>
  <c r="B26" i="32"/>
  <c r="A26" i="32"/>
  <c r="B25" i="32"/>
  <c r="A25" i="32"/>
  <c r="B24" i="32"/>
  <c r="A24" i="32"/>
  <c r="B23" i="32"/>
  <c r="A23" i="32"/>
  <c r="B22" i="32"/>
  <c r="A22" i="32"/>
  <c r="B21" i="32"/>
  <c r="A21" i="32"/>
  <c r="B20" i="32"/>
  <c r="A20" i="32"/>
  <c r="B19" i="32"/>
  <c r="A19" i="32"/>
  <c r="B18" i="32"/>
  <c r="A18" i="32"/>
  <c r="B17" i="32"/>
  <c r="A17" i="32"/>
  <c r="B16" i="32"/>
  <c r="A16" i="32"/>
  <c r="B15" i="32"/>
  <c r="A15" i="32"/>
  <c r="B14" i="32"/>
  <c r="A14" i="32"/>
  <c r="B9" i="32"/>
  <c r="A9" i="32"/>
  <c r="B8" i="32"/>
  <c r="A8" i="32"/>
  <c r="B7" i="32"/>
  <c r="A7" i="32"/>
  <c r="E2" i="32"/>
  <c r="B64" i="31"/>
  <c r="A64" i="31"/>
  <c r="B63" i="31"/>
  <c r="A63" i="31"/>
  <c r="B62" i="31"/>
  <c r="A62" i="31"/>
  <c r="B61" i="31"/>
  <c r="A61" i="31"/>
  <c r="B60" i="31"/>
  <c r="A60" i="31"/>
  <c r="B59" i="31"/>
  <c r="A59" i="31"/>
  <c r="B58" i="31"/>
  <c r="A58" i="31"/>
  <c r="B57" i="31"/>
  <c r="A57" i="31"/>
  <c r="B56" i="31"/>
  <c r="A56" i="31"/>
  <c r="B55" i="31"/>
  <c r="A55" i="31"/>
  <c r="B54" i="31"/>
  <c r="A54" i="31"/>
  <c r="B53" i="31"/>
  <c r="A53" i="31"/>
  <c r="B52" i="31"/>
  <c r="A52" i="31"/>
  <c r="B51" i="31"/>
  <c r="A51" i="31"/>
  <c r="B50" i="31"/>
  <c r="A50" i="31"/>
  <c r="B49" i="31"/>
  <c r="A49" i="31"/>
  <c r="B48" i="31"/>
  <c r="A48" i="31"/>
  <c r="B47" i="31"/>
  <c r="A47" i="31"/>
  <c r="B46" i="31"/>
  <c r="A46" i="31"/>
  <c r="B45" i="31"/>
  <c r="A45" i="31"/>
  <c r="B43" i="31"/>
  <c r="A43" i="31"/>
  <c r="B42" i="31"/>
  <c r="A42" i="31"/>
  <c r="B41" i="31"/>
  <c r="A41" i="31"/>
  <c r="B40" i="31"/>
  <c r="A40" i="31"/>
  <c r="B39" i="31"/>
  <c r="A39" i="31"/>
  <c r="B38" i="31"/>
  <c r="A38" i="31"/>
  <c r="B37" i="31"/>
  <c r="A37" i="31"/>
  <c r="B36" i="31"/>
  <c r="A36" i="31"/>
  <c r="B35" i="31"/>
  <c r="A35" i="31"/>
  <c r="B34" i="31"/>
  <c r="A34" i="31"/>
  <c r="B33" i="31"/>
  <c r="A33" i="31"/>
  <c r="B32" i="31"/>
  <c r="A32" i="31"/>
  <c r="B31" i="31"/>
  <c r="A31" i="31"/>
  <c r="B30" i="31"/>
  <c r="A30" i="31"/>
  <c r="B29" i="31"/>
  <c r="A29" i="31"/>
  <c r="B28" i="31"/>
  <c r="A28" i="31"/>
  <c r="B27" i="31"/>
  <c r="A27" i="31"/>
  <c r="B26" i="31"/>
  <c r="A26" i="31"/>
  <c r="B25" i="31"/>
  <c r="A25" i="31"/>
  <c r="B24" i="31"/>
  <c r="A24" i="31"/>
  <c r="B23" i="31"/>
  <c r="A23" i="31"/>
  <c r="B22" i="31"/>
  <c r="A22" i="31"/>
  <c r="B21" i="31"/>
  <c r="A21" i="31"/>
  <c r="B20" i="31"/>
  <c r="A20" i="31"/>
  <c r="B19" i="31"/>
  <c r="A19" i="31"/>
  <c r="B18" i="31"/>
  <c r="A18" i="31"/>
  <c r="B17" i="31"/>
  <c r="A17" i="31"/>
  <c r="B16" i="31"/>
  <c r="A16" i="31"/>
  <c r="B15" i="31"/>
  <c r="A15" i="31"/>
  <c r="B14" i="31"/>
  <c r="A14" i="31"/>
  <c r="B9" i="31"/>
  <c r="A9" i="31"/>
  <c r="B8" i="31"/>
  <c r="A8" i="31"/>
  <c r="B7" i="31"/>
  <c r="A7" i="31"/>
  <c r="E2" i="31"/>
  <c r="A398" i="27"/>
  <c r="B398" i="27"/>
  <c r="B397" i="27" l="1"/>
  <c r="B396" i="27"/>
  <c r="B395" i="27"/>
  <c r="B394" i="27"/>
  <c r="B393" i="27"/>
  <c r="B392" i="27"/>
  <c r="B391" i="27"/>
  <c r="B390" i="27"/>
  <c r="B389" i="27"/>
  <c r="B388" i="27"/>
  <c r="B387" i="27"/>
  <c r="B386" i="27"/>
  <c r="B385" i="27"/>
  <c r="B384" i="27"/>
  <c r="B383" i="27"/>
  <c r="B382" i="27"/>
  <c r="B381" i="27"/>
  <c r="B380" i="27"/>
  <c r="B379" i="27"/>
  <c r="B378" i="27"/>
  <c r="B377" i="27"/>
  <c r="B376" i="27"/>
  <c r="B375" i="27"/>
  <c r="B374" i="27"/>
  <c r="B373" i="27"/>
  <c r="B372" i="27"/>
  <c r="B371" i="27"/>
  <c r="B370" i="27"/>
  <c r="B369" i="27"/>
  <c r="B368" i="27"/>
  <c r="B367" i="27"/>
  <c r="B366" i="27"/>
  <c r="B365" i="27"/>
  <c r="B364" i="27"/>
  <c r="B363" i="27"/>
  <c r="B362" i="27"/>
  <c r="B361" i="27"/>
  <c r="B360" i="27"/>
  <c r="B359" i="27"/>
  <c r="B357" i="27"/>
  <c r="B356" i="27"/>
  <c r="B355" i="27"/>
  <c r="B354" i="27"/>
  <c r="B353" i="27"/>
  <c r="B352" i="27"/>
  <c r="B351" i="27"/>
  <c r="B350" i="27"/>
  <c r="B349" i="27"/>
  <c r="B348" i="27"/>
  <c r="B347" i="27"/>
  <c r="B346" i="27"/>
  <c r="B345" i="27"/>
  <c r="B344" i="27"/>
  <c r="B343" i="27"/>
  <c r="B342" i="27"/>
  <c r="B341" i="27"/>
  <c r="B340" i="27"/>
  <c r="B339" i="27"/>
  <c r="B338" i="27"/>
  <c r="B337" i="27"/>
  <c r="B336" i="27"/>
  <c r="B335" i="27"/>
  <c r="B334" i="27"/>
  <c r="B333" i="27"/>
  <c r="B332" i="27"/>
  <c r="B331" i="27"/>
  <c r="B330" i="27"/>
  <c r="B329" i="27"/>
  <c r="B328" i="27"/>
  <c r="B327" i="27"/>
  <c r="B326" i="27"/>
  <c r="B325" i="27"/>
  <c r="B324" i="27"/>
  <c r="B323" i="27"/>
  <c r="B322" i="27"/>
  <c r="B321" i="27"/>
  <c r="B320" i="27"/>
  <c r="B319" i="27"/>
  <c r="B318" i="27"/>
  <c r="B316" i="27"/>
  <c r="B315" i="27"/>
  <c r="B314" i="27"/>
  <c r="B313" i="27"/>
  <c r="B312" i="27"/>
  <c r="B311" i="27"/>
  <c r="B310" i="27"/>
  <c r="B309" i="27"/>
  <c r="B308" i="27"/>
  <c r="B307" i="27"/>
  <c r="B306" i="27"/>
  <c r="B305" i="27"/>
  <c r="B304" i="27"/>
  <c r="B303" i="27"/>
  <c r="B302" i="27"/>
  <c r="B301" i="27"/>
  <c r="B300" i="27"/>
  <c r="B299" i="27"/>
  <c r="B298" i="27"/>
  <c r="B297" i="27"/>
  <c r="B295" i="27"/>
  <c r="B294" i="27"/>
  <c r="B293" i="27"/>
  <c r="B292" i="27"/>
  <c r="B291" i="27"/>
  <c r="B290" i="27"/>
  <c r="B289" i="27"/>
  <c r="B288" i="27"/>
  <c r="B287" i="27"/>
  <c r="B286" i="27"/>
  <c r="B285" i="27"/>
  <c r="B284" i="27"/>
  <c r="B283" i="27"/>
  <c r="B282" i="27"/>
  <c r="B281" i="27"/>
  <c r="B280" i="27"/>
  <c r="B279" i="27"/>
  <c r="B278" i="27"/>
  <c r="B277" i="27"/>
  <c r="B276" i="27"/>
  <c r="B275" i="27"/>
  <c r="B274" i="27"/>
  <c r="B273" i="27"/>
  <c r="B272" i="27"/>
  <c r="B271" i="27"/>
  <c r="B270" i="27"/>
  <c r="B269" i="27"/>
  <c r="B268" i="27"/>
  <c r="B267" i="27"/>
  <c r="B266" i="27"/>
  <c r="B264" i="27"/>
  <c r="B263" i="27"/>
  <c r="B262" i="27"/>
  <c r="B261" i="27"/>
  <c r="B260" i="27"/>
  <c r="B259" i="27"/>
  <c r="B258" i="27"/>
  <c r="B257" i="27"/>
  <c r="B256" i="27"/>
  <c r="B255" i="27"/>
  <c r="B254" i="27"/>
  <c r="B253" i="27"/>
  <c r="B252" i="27"/>
  <c r="B251" i="27"/>
  <c r="B250" i="27"/>
  <c r="B249" i="27"/>
  <c r="B248" i="27"/>
  <c r="B247" i="27"/>
  <c r="B246" i="27"/>
  <c r="B245" i="27"/>
  <c r="B244" i="27"/>
  <c r="B243" i="27"/>
  <c r="B242" i="27"/>
  <c r="B241" i="27"/>
  <c r="B240" i="27"/>
  <c r="B239" i="27"/>
  <c r="B238" i="27"/>
  <c r="B237" i="27"/>
  <c r="B236" i="27"/>
  <c r="B235" i="27"/>
  <c r="B234" i="27"/>
  <c r="B233" i="27"/>
  <c r="B232" i="27"/>
  <c r="B231" i="27"/>
  <c r="B230" i="27"/>
  <c r="B229" i="27"/>
  <c r="B228" i="27"/>
  <c r="B227" i="27"/>
  <c r="B226" i="27"/>
  <c r="B225" i="27"/>
  <c r="B224" i="27"/>
  <c r="B223" i="27"/>
  <c r="B222" i="27"/>
  <c r="B221" i="27"/>
  <c r="B220" i="27"/>
  <c r="B219" i="27"/>
  <c r="B218" i="27"/>
  <c r="B217" i="27"/>
  <c r="B216" i="27"/>
  <c r="B215" i="27"/>
  <c r="B214" i="27"/>
  <c r="B213" i="27"/>
  <c r="B212" i="27"/>
  <c r="B211" i="27"/>
  <c r="B210" i="27"/>
  <c r="B209" i="27"/>
  <c r="B208" i="27"/>
  <c r="B207" i="27"/>
  <c r="B206" i="27"/>
  <c r="B205" i="27"/>
  <c r="B204" i="27"/>
  <c r="B203" i="27"/>
  <c r="B202" i="27"/>
  <c r="B201" i="27"/>
  <c r="B200" i="27"/>
  <c r="B199" i="27"/>
  <c r="B198" i="27"/>
  <c r="B197" i="27"/>
  <c r="B196" i="27"/>
  <c r="B195" i="27"/>
  <c r="B194" i="27"/>
  <c r="B193" i="27"/>
  <c r="B192" i="27"/>
  <c r="B191" i="27"/>
  <c r="B190" i="27"/>
  <c r="B189" i="27"/>
  <c r="B188" i="27"/>
  <c r="B187" i="27"/>
  <c r="B186" i="27"/>
  <c r="B185" i="27"/>
  <c r="B184" i="27"/>
  <c r="B183" i="27"/>
  <c r="B182" i="27"/>
  <c r="B181" i="27"/>
  <c r="B180" i="27"/>
  <c r="B179" i="27"/>
  <c r="B178" i="27"/>
  <c r="B177" i="27"/>
  <c r="B176" i="27"/>
  <c r="B175" i="27"/>
  <c r="B174" i="27"/>
  <c r="B173" i="27"/>
  <c r="B172" i="27"/>
  <c r="B171" i="27"/>
  <c r="B170" i="27"/>
  <c r="B169" i="27"/>
  <c r="B168" i="27"/>
  <c r="B167" i="27"/>
  <c r="B166" i="27"/>
  <c r="B165" i="27"/>
  <c r="B164" i="27"/>
  <c r="B163" i="27"/>
  <c r="B162" i="27"/>
  <c r="B161" i="27"/>
  <c r="B160" i="27"/>
  <c r="B159" i="27"/>
  <c r="B158" i="27"/>
  <c r="B157" i="27"/>
  <c r="B156" i="27"/>
  <c r="B155" i="27"/>
  <c r="B154" i="27"/>
  <c r="B153" i="27"/>
  <c r="B152" i="27"/>
  <c r="B151" i="27"/>
  <c r="B150" i="27"/>
  <c r="B149" i="27"/>
  <c r="B148" i="27"/>
  <c r="B147" i="27"/>
  <c r="B146" i="27"/>
  <c r="B145" i="27"/>
  <c r="B144" i="27"/>
  <c r="B143" i="27"/>
  <c r="B142" i="27"/>
  <c r="B141" i="27"/>
  <c r="B140" i="27"/>
  <c r="B139" i="27"/>
  <c r="B138" i="27"/>
  <c r="B137" i="27"/>
  <c r="B136" i="27"/>
  <c r="B135" i="27"/>
  <c r="B134" i="27"/>
  <c r="B133" i="27"/>
  <c r="B132" i="27"/>
  <c r="B131" i="27"/>
  <c r="B130" i="27"/>
  <c r="B129" i="27"/>
  <c r="B128" i="27"/>
  <c r="B127" i="27"/>
  <c r="B126" i="27"/>
  <c r="B125" i="27"/>
  <c r="B124" i="27"/>
  <c r="B123" i="27"/>
  <c r="B122" i="27"/>
  <c r="B121" i="27"/>
  <c r="B120" i="27"/>
  <c r="B119" i="27"/>
  <c r="B118" i="27"/>
  <c r="B117" i="27"/>
  <c r="B116" i="27"/>
  <c r="B115" i="27"/>
  <c r="B114" i="27"/>
  <c r="B113" i="27"/>
  <c r="B112" i="27"/>
  <c r="B111" i="27"/>
  <c r="B110" i="27"/>
  <c r="B109" i="27"/>
  <c r="B108" i="27"/>
  <c r="B107" i="27"/>
  <c r="B106" i="27"/>
  <c r="B105" i="27"/>
  <c r="B104" i="27"/>
  <c r="B103" i="27"/>
  <c r="B102" i="27"/>
  <c r="B101" i="27"/>
  <c r="B100" i="27"/>
  <c r="B99" i="27"/>
  <c r="B98" i="27"/>
  <c r="B97" i="27"/>
  <c r="B96" i="27"/>
  <c r="B95" i="27"/>
  <c r="B94" i="27"/>
  <c r="B93" i="27"/>
  <c r="B92" i="27"/>
  <c r="B91" i="27"/>
  <c r="B90" i="27"/>
  <c r="B89" i="27"/>
  <c r="B88" i="27"/>
  <c r="B87" i="27"/>
  <c r="B86" i="27"/>
  <c r="B85" i="27"/>
  <c r="B84" i="27"/>
  <c r="B83" i="27"/>
  <c r="B82" i="27"/>
  <c r="B81" i="27"/>
  <c r="B80" i="27"/>
  <c r="B79" i="27"/>
  <c r="B78" i="27"/>
  <c r="B77" i="27"/>
  <c r="B76" i="27"/>
  <c r="B75" i="27"/>
  <c r="B74" i="27"/>
  <c r="B73" i="27"/>
  <c r="B72" i="27"/>
  <c r="B71" i="27"/>
  <c r="B70" i="27"/>
  <c r="B69" i="27"/>
  <c r="B68" i="27"/>
  <c r="B67" i="27"/>
  <c r="B66" i="27"/>
  <c r="B65" i="27"/>
  <c r="B63" i="27"/>
  <c r="B62" i="27"/>
  <c r="B61" i="27"/>
  <c r="B60" i="27"/>
  <c r="B59" i="27"/>
  <c r="B58" i="27"/>
  <c r="B57" i="27"/>
  <c r="B56" i="27"/>
  <c r="B55" i="27"/>
  <c r="B54" i="27"/>
  <c r="B53" i="27"/>
  <c r="B52" i="27"/>
  <c r="B51" i="27"/>
  <c r="B50" i="27"/>
  <c r="B49" i="27"/>
  <c r="B48" i="27"/>
  <c r="B47" i="27"/>
  <c r="B46" i="27"/>
  <c r="B45" i="27"/>
  <c r="B44" i="27"/>
  <c r="B43" i="27"/>
  <c r="B42" i="27"/>
  <c r="B41" i="27"/>
  <c r="B40" i="27"/>
  <c r="B39" i="27"/>
  <c r="B38" i="27"/>
  <c r="B37" i="27"/>
  <c r="B36" i="27"/>
  <c r="B35" i="27"/>
  <c r="B34" i="27"/>
  <c r="B33" i="27"/>
  <c r="B32" i="27"/>
  <c r="B31" i="27"/>
  <c r="B30" i="27"/>
  <c r="B29" i="27"/>
  <c r="B28" i="27"/>
  <c r="B27" i="27"/>
  <c r="B26" i="27"/>
  <c r="B25" i="27"/>
  <c r="B24" i="27"/>
  <c r="B23" i="27"/>
  <c r="B22" i="27"/>
  <c r="B21" i="27"/>
  <c r="B20" i="27"/>
  <c r="B19" i="27"/>
  <c r="B18" i="27"/>
  <c r="B17" i="27"/>
  <c r="B16" i="27"/>
  <c r="B15" i="27"/>
  <c r="B14" i="27"/>
  <c r="B10" i="27"/>
  <c r="B9" i="27"/>
  <c r="B8" i="27"/>
  <c r="B7" i="27"/>
  <c r="A397" i="27"/>
  <c r="A396" i="27"/>
  <c r="A395" i="27"/>
  <c r="A394" i="27"/>
  <c r="A393" i="27"/>
  <c r="A392" i="27"/>
  <c r="A391" i="27"/>
  <c r="A390" i="27"/>
  <c r="A389" i="27"/>
  <c r="A388" i="27"/>
  <c r="A387" i="27"/>
  <c r="A386" i="27"/>
  <c r="A385" i="27"/>
  <c r="A384" i="27"/>
  <c r="A383" i="27"/>
  <c r="A382" i="27"/>
  <c r="A381" i="27"/>
  <c r="A380" i="27"/>
  <c r="A379" i="27"/>
  <c r="A378" i="27"/>
  <c r="A377" i="27"/>
  <c r="A376" i="27"/>
  <c r="A375" i="27"/>
  <c r="A374" i="27"/>
  <c r="A373" i="27"/>
  <c r="A372" i="27"/>
  <c r="A371" i="27"/>
  <c r="A370" i="27"/>
  <c r="A369" i="27"/>
  <c r="A368" i="27"/>
  <c r="A367" i="27"/>
  <c r="A366" i="27"/>
  <c r="A365" i="27"/>
  <c r="A364" i="27"/>
  <c r="A363" i="27"/>
  <c r="A362" i="27"/>
  <c r="A361" i="27"/>
  <c r="A360" i="27"/>
  <c r="A359" i="27"/>
  <c r="A357" i="27"/>
  <c r="A356" i="27"/>
  <c r="A355" i="27"/>
  <c r="A354" i="27"/>
  <c r="A353" i="27"/>
  <c r="A352" i="27"/>
  <c r="A351" i="27"/>
  <c r="A350" i="27"/>
  <c r="A349" i="27"/>
  <c r="A348" i="27"/>
  <c r="A347" i="27"/>
  <c r="A346" i="27"/>
  <c r="A345" i="27"/>
  <c r="A344" i="27"/>
  <c r="A343" i="27"/>
  <c r="A342" i="27"/>
  <c r="A341" i="27"/>
  <c r="A340" i="27"/>
  <c r="A339" i="27"/>
  <c r="A338" i="27"/>
  <c r="A337" i="27"/>
  <c r="A336" i="27"/>
  <c r="A335" i="27"/>
  <c r="A334" i="27"/>
  <c r="A333" i="27"/>
  <c r="A332" i="27"/>
  <c r="A331" i="27"/>
  <c r="A330" i="27"/>
  <c r="A329" i="27"/>
  <c r="A328" i="27"/>
  <c r="A327" i="27"/>
  <c r="A326" i="27"/>
  <c r="A325" i="27"/>
  <c r="A324" i="27"/>
  <c r="A323" i="27"/>
  <c r="A322" i="27"/>
  <c r="A321" i="27"/>
  <c r="A320" i="27"/>
  <c r="A319" i="27"/>
  <c r="A318" i="27"/>
  <c r="A316" i="27"/>
  <c r="A315" i="27"/>
  <c r="A314" i="27"/>
  <c r="A313" i="27"/>
  <c r="A312" i="27"/>
  <c r="A311" i="27"/>
  <c r="A310" i="27"/>
  <c r="A309" i="27"/>
  <c r="A308" i="27"/>
  <c r="A307" i="27"/>
  <c r="A306" i="27"/>
  <c r="A305" i="27"/>
  <c r="A304" i="27"/>
  <c r="A303" i="27"/>
  <c r="A302" i="27"/>
  <c r="A301" i="27"/>
  <c r="A300" i="27"/>
  <c r="A299" i="27"/>
  <c r="A298" i="27"/>
  <c r="A297" i="27"/>
  <c r="A295" i="27"/>
  <c r="A294" i="27"/>
  <c r="A293" i="27"/>
  <c r="A292" i="27"/>
  <c r="A291" i="27"/>
  <c r="A290" i="27"/>
  <c r="A289" i="27"/>
  <c r="A288" i="27"/>
  <c r="A287" i="27"/>
  <c r="A286" i="27"/>
  <c r="A285" i="27"/>
  <c r="A284" i="27"/>
  <c r="A283" i="27"/>
  <c r="A282" i="27"/>
  <c r="A281" i="27"/>
  <c r="A280" i="27"/>
  <c r="A279" i="27"/>
  <c r="A278" i="27"/>
  <c r="A277" i="27"/>
  <c r="A276" i="27"/>
  <c r="A275" i="27"/>
  <c r="A274" i="27"/>
  <c r="A273" i="27"/>
  <c r="A272" i="27"/>
  <c r="A271" i="27"/>
  <c r="A270" i="27"/>
  <c r="A269" i="27"/>
  <c r="A268" i="27"/>
  <c r="A267" i="27"/>
  <c r="A266" i="27"/>
  <c r="A264" i="27"/>
  <c r="A263" i="27"/>
  <c r="A262" i="27"/>
  <c r="A261" i="27"/>
  <c r="A260" i="27"/>
  <c r="A259" i="27"/>
  <c r="A258" i="27"/>
  <c r="A257" i="27"/>
  <c r="A256" i="27"/>
  <c r="A255" i="27"/>
  <c r="A254" i="27"/>
  <c r="A253" i="27"/>
  <c r="A252" i="27"/>
  <c r="A251" i="27"/>
  <c r="A250" i="27"/>
  <c r="A249" i="27"/>
  <c r="A248" i="27"/>
  <c r="A247" i="27"/>
  <c r="A246" i="27"/>
  <c r="A245" i="27"/>
  <c r="A244" i="27"/>
  <c r="A243" i="27"/>
  <c r="A242" i="27"/>
  <c r="A241" i="27"/>
  <c r="A240" i="27"/>
  <c r="A239" i="27"/>
  <c r="A238" i="27"/>
  <c r="A237" i="27"/>
  <c r="A236" i="27"/>
  <c r="A235" i="27"/>
  <c r="A234" i="27"/>
  <c r="A233" i="27"/>
  <c r="A232" i="27"/>
  <c r="A231" i="27"/>
  <c r="A230" i="27"/>
  <c r="A229" i="27"/>
  <c r="A228" i="27"/>
  <c r="A227" i="27"/>
  <c r="A226" i="27"/>
  <c r="A225" i="27"/>
  <c r="A224" i="27"/>
  <c r="A223" i="27"/>
  <c r="A222" i="27"/>
  <c r="A221" i="27"/>
  <c r="A220" i="27"/>
  <c r="A219" i="27"/>
  <c r="A218" i="27"/>
  <c r="A217" i="27"/>
  <c r="A216" i="27"/>
  <c r="A215" i="27"/>
  <c r="A214" i="27"/>
  <c r="A213" i="27"/>
  <c r="A212" i="27"/>
  <c r="A211" i="27"/>
  <c r="A210" i="27"/>
  <c r="A209" i="27"/>
  <c r="A208" i="27"/>
  <c r="A207" i="27"/>
  <c r="A206" i="27"/>
  <c r="A205" i="27"/>
  <c r="A204" i="27"/>
  <c r="A203" i="27"/>
  <c r="A202" i="27"/>
  <c r="A201" i="27"/>
  <c r="A200" i="27"/>
  <c r="A199" i="27"/>
  <c r="A198" i="27"/>
  <c r="A197" i="27"/>
  <c r="A196" i="27"/>
  <c r="A195" i="27"/>
  <c r="A194" i="27"/>
  <c r="A193" i="27"/>
  <c r="A192" i="27"/>
  <c r="A191" i="27"/>
  <c r="A190" i="27"/>
  <c r="A189" i="27"/>
  <c r="A188" i="27"/>
  <c r="A187" i="27"/>
  <c r="A186" i="27"/>
  <c r="A185" i="27"/>
  <c r="A184" i="27"/>
  <c r="A183" i="27"/>
  <c r="A182" i="27"/>
  <c r="A181" i="27"/>
  <c r="A180" i="27"/>
  <c r="A179" i="27"/>
  <c r="A178" i="27"/>
  <c r="A177" i="27"/>
  <c r="A176" i="27"/>
  <c r="A175" i="27"/>
  <c r="A174" i="27"/>
  <c r="A173" i="27"/>
  <c r="A172" i="27"/>
  <c r="A171" i="27"/>
  <c r="A170" i="27"/>
  <c r="A169" i="27"/>
  <c r="A168" i="27"/>
  <c r="A167" i="27"/>
  <c r="A166" i="27"/>
  <c r="A165" i="27"/>
  <c r="A164" i="27"/>
  <c r="A163" i="27"/>
  <c r="A162" i="27"/>
  <c r="A161" i="27"/>
  <c r="A160" i="27"/>
  <c r="A159" i="27"/>
  <c r="A158" i="27"/>
  <c r="A157" i="27"/>
  <c r="A156" i="27"/>
  <c r="A155" i="27"/>
  <c r="A154" i="27"/>
  <c r="A153" i="27"/>
  <c r="A152" i="27"/>
  <c r="A151" i="27"/>
  <c r="A150" i="27"/>
  <c r="A149" i="27"/>
  <c r="A148" i="27"/>
  <c r="A147" i="27"/>
  <c r="A146" i="27"/>
  <c r="A145" i="27"/>
  <c r="A144" i="27"/>
  <c r="A143" i="27"/>
  <c r="A142" i="27"/>
  <c r="A141" i="27"/>
  <c r="A140" i="27"/>
  <c r="A139" i="27"/>
  <c r="A138" i="27"/>
  <c r="A137" i="27"/>
  <c r="A136" i="27"/>
  <c r="A135" i="27"/>
  <c r="A134" i="27"/>
  <c r="A133" i="27"/>
  <c r="A132" i="27"/>
  <c r="A131" i="27"/>
  <c r="A130" i="27"/>
  <c r="A129" i="27"/>
  <c r="A128" i="27"/>
  <c r="A127" i="27"/>
  <c r="A126" i="27"/>
  <c r="A125" i="27"/>
  <c r="A124" i="27"/>
  <c r="A123" i="27"/>
  <c r="A122" i="27"/>
  <c r="A121" i="27"/>
  <c r="A120" i="27"/>
  <c r="A119" i="27"/>
  <c r="A118" i="27"/>
  <c r="A117" i="27"/>
  <c r="A116" i="27"/>
  <c r="A115" i="27"/>
  <c r="A114" i="27"/>
  <c r="A113" i="27"/>
  <c r="A112" i="27"/>
  <c r="A111" i="27"/>
  <c r="A110" i="27"/>
  <c r="A109" i="27"/>
  <c r="A108" i="27"/>
  <c r="A107" i="27"/>
  <c r="A106" i="27"/>
  <c r="A105" i="27"/>
  <c r="A104" i="27"/>
  <c r="A103" i="27"/>
  <c r="A102" i="27"/>
  <c r="A101" i="27"/>
  <c r="A100" i="27"/>
  <c r="A99" i="27"/>
  <c r="A98" i="27"/>
  <c r="A97" i="27"/>
  <c r="A96" i="27"/>
  <c r="A95" i="27"/>
  <c r="A94" i="27"/>
  <c r="A93" i="27"/>
  <c r="A92" i="27"/>
  <c r="A91" i="27"/>
  <c r="A90" i="27"/>
  <c r="A89" i="27"/>
  <c r="A88" i="27"/>
  <c r="A87" i="27"/>
  <c r="A86" i="27"/>
  <c r="A85" i="27"/>
  <c r="A84" i="27"/>
  <c r="A83" i="27"/>
  <c r="A82" i="27"/>
  <c r="A81" i="27"/>
  <c r="A80" i="27"/>
  <c r="A79" i="27"/>
  <c r="A78" i="27"/>
  <c r="A77" i="27"/>
  <c r="A76" i="27"/>
  <c r="A75" i="27"/>
  <c r="A74" i="27"/>
  <c r="A73" i="27"/>
  <c r="A72" i="27"/>
  <c r="A71" i="27"/>
  <c r="A70" i="27"/>
  <c r="A69" i="27"/>
  <c r="A68" i="27"/>
  <c r="A67" i="27"/>
  <c r="A66" i="27"/>
  <c r="A65" i="27"/>
  <c r="A63" i="27"/>
  <c r="A62" i="27"/>
  <c r="A61" i="27"/>
  <c r="A60" i="27"/>
  <c r="A59" i="27"/>
  <c r="A58" i="27"/>
  <c r="A57" i="27"/>
  <c r="A56" i="27"/>
  <c r="A55" i="27"/>
  <c r="A54" i="27"/>
  <c r="A53" i="27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0" i="27"/>
  <c r="A9" i="27"/>
  <c r="A8" i="27"/>
  <c r="A7" i="27"/>
  <c r="E2" i="27"/>
  <c r="D2" i="8"/>
  <c r="C4" i="8"/>
</calcChain>
</file>

<file path=xl/sharedStrings.xml><?xml version="1.0" encoding="utf-8"?>
<sst xmlns="http://schemas.openxmlformats.org/spreadsheetml/2006/main" count="2413" uniqueCount="270">
  <si>
    <t>Spare</t>
    <phoneticPr fontId="2" type="noConversion"/>
  </si>
  <si>
    <t>Cassette ID</t>
    <phoneticPr fontId="2" type="noConversion"/>
  </si>
  <si>
    <t>0000</t>
    <phoneticPr fontId="2" type="noConversion"/>
  </si>
  <si>
    <t>(binary)</t>
  </si>
  <si>
    <t>Name            Designation</t>
    <phoneticPr fontId="2" type="noConversion"/>
  </si>
  <si>
    <t>Description</t>
    <phoneticPr fontId="2" type="noConversion"/>
  </si>
  <si>
    <t>Annotation</t>
    <phoneticPr fontId="2" type="noConversion"/>
  </si>
  <si>
    <t>CIM Equipment spec</t>
  </si>
  <si>
    <t>SUBJECT</t>
  </si>
  <si>
    <t>Doc. No. :</t>
  </si>
  <si>
    <t>Equipment</t>
  </si>
  <si>
    <t>10th Char</t>
    <phoneticPr fontId="2" type="noConversion"/>
  </si>
  <si>
    <t>9th Char</t>
    <phoneticPr fontId="2" type="noConversion"/>
  </si>
  <si>
    <t>12th Char</t>
    <phoneticPr fontId="2" type="noConversion"/>
  </si>
  <si>
    <t>11th Char</t>
    <phoneticPr fontId="2" type="noConversion"/>
  </si>
  <si>
    <t>Unloader</t>
    <phoneticPr fontId="2" type="noConversion"/>
  </si>
  <si>
    <t>14th Char</t>
    <phoneticPr fontId="2" type="noConversion"/>
  </si>
  <si>
    <t>13th Char</t>
    <phoneticPr fontId="2" type="noConversion"/>
  </si>
  <si>
    <t>16th Char</t>
    <phoneticPr fontId="2" type="noConversion"/>
  </si>
  <si>
    <t>15th Char</t>
    <phoneticPr fontId="2" type="noConversion"/>
  </si>
  <si>
    <t>18th Char</t>
    <phoneticPr fontId="2" type="noConversion"/>
  </si>
  <si>
    <t>17th Char</t>
    <phoneticPr fontId="2" type="noConversion"/>
  </si>
  <si>
    <t>20th Char</t>
    <phoneticPr fontId="2" type="noConversion"/>
  </si>
  <si>
    <t>19th Char</t>
    <phoneticPr fontId="2" type="noConversion"/>
  </si>
  <si>
    <t>CIM Equipment spec.</t>
    <phoneticPr fontId="2" type="noConversion"/>
  </si>
  <si>
    <t>2nd Char</t>
  </si>
  <si>
    <t>4th Char</t>
  </si>
  <si>
    <t>3rd Char</t>
  </si>
  <si>
    <t>6th Char</t>
  </si>
  <si>
    <t>5th Char</t>
  </si>
  <si>
    <t>8th Char</t>
  </si>
  <si>
    <t>7th Char</t>
  </si>
  <si>
    <r>
      <t>編號</t>
    </r>
    <r>
      <rPr>
        <sz val="12"/>
        <rFont val="Arial"/>
        <family val="2"/>
      </rPr>
      <t xml:space="preserve">
No</t>
    </r>
    <phoneticPr fontId="2" type="noConversion"/>
  </si>
  <si>
    <r>
      <t>版</t>
    </r>
    <r>
      <rPr>
        <sz val="12"/>
        <rFont val="Arial"/>
        <family val="2"/>
      </rPr>
      <t xml:space="preserve">  </t>
    </r>
    <r>
      <rPr>
        <sz val="12"/>
        <rFont val="標楷體"/>
        <family val="4"/>
        <charset val="136"/>
      </rPr>
      <t>本</t>
    </r>
    <r>
      <rPr>
        <sz val="12"/>
        <rFont val="Arial"/>
        <family val="2"/>
      </rPr>
      <t xml:space="preserve">
Version </t>
    </r>
    <phoneticPr fontId="2" type="noConversion"/>
  </si>
  <si>
    <r>
      <t>內</t>
    </r>
    <r>
      <rPr>
        <sz val="12"/>
        <rFont val="Arial"/>
        <family val="2"/>
      </rPr>
      <t xml:space="preserve">      </t>
    </r>
    <r>
      <rPr>
        <sz val="12"/>
        <rFont val="標楷體"/>
        <family val="4"/>
        <charset val="136"/>
      </rPr>
      <t>容</t>
    </r>
    <r>
      <rPr>
        <sz val="12"/>
        <rFont val="Arial"/>
        <family val="2"/>
      </rPr>
      <t xml:space="preserve">
Content</t>
    </r>
    <phoneticPr fontId="2" type="noConversion"/>
  </si>
  <si>
    <r>
      <t xml:space="preserve">日期
</t>
    </r>
    <r>
      <rPr>
        <sz val="12"/>
        <rFont val="Arial"/>
        <family val="2"/>
      </rPr>
      <t>Date</t>
    </r>
    <phoneticPr fontId="2" type="noConversion"/>
  </si>
  <si>
    <r>
      <t>備</t>
    </r>
    <r>
      <rPr>
        <sz val="12"/>
        <rFont val="Arial"/>
        <family val="2"/>
      </rPr>
      <t xml:space="preserve">  </t>
    </r>
    <r>
      <rPr>
        <sz val="12"/>
        <rFont val="標楷體"/>
        <family val="4"/>
        <charset val="136"/>
      </rPr>
      <t>註</t>
    </r>
    <r>
      <rPr>
        <sz val="12"/>
        <rFont val="Arial"/>
        <family val="2"/>
      </rPr>
      <t xml:space="preserve">
Remark</t>
    </r>
    <phoneticPr fontId="2" type="noConversion"/>
  </si>
  <si>
    <t>1.0</t>
    <phoneticPr fontId="2" type="noConversion"/>
  </si>
  <si>
    <t>uuuu</t>
    <phoneticPr fontId="2" type="noConversion"/>
  </si>
  <si>
    <r>
      <t xml:space="preserve">CIM </t>
    </r>
    <r>
      <rPr>
        <sz val="12"/>
        <rFont val="標楷體"/>
        <family val="4"/>
        <charset val="136"/>
      </rPr>
      <t>設備規範書</t>
    </r>
  </si>
  <si>
    <t>Equipment CIM Data Mapping</t>
    <phoneticPr fontId="2" type="noConversion"/>
  </si>
  <si>
    <t>Doc. No. :</t>
    <phoneticPr fontId="2" type="noConversion"/>
  </si>
  <si>
    <t>Equipment Report Data</t>
    <phoneticPr fontId="2" type="noConversion"/>
  </si>
  <si>
    <r>
      <t xml:space="preserve"> </t>
    </r>
    <r>
      <rPr>
        <sz val="12"/>
        <rFont val="細明體"/>
        <family val="3"/>
        <charset val="136"/>
      </rPr>
      <t>（</t>
    </r>
    <r>
      <rPr>
        <sz val="12"/>
        <rFont val="Arial"/>
        <family val="2"/>
      </rPr>
      <t xml:space="preserve">Network  Parameter </t>
    </r>
    <r>
      <rPr>
        <sz val="12"/>
        <rFont val="細明體"/>
        <family val="3"/>
        <charset val="136"/>
      </rPr>
      <t>）</t>
    </r>
    <phoneticPr fontId="2" type="noConversion"/>
  </si>
  <si>
    <t>Points</t>
    <phoneticPr fontId="7" type="noConversion"/>
  </si>
  <si>
    <t>Begin</t>
    <phoneticPr fontId="2" type="noConversion"/>
  </si>
  <si>
    <t>End</t>
    <phoneticPr fontId="2" type="noConversion"/>
  </si>
  <si>
    <t>Loader</t>
    <phoneticPr fontId="2" type="noConversion"/>
  </si>
  <si>
    <t>(binary)</t>
    <phoneticPr fontId="2" type="noConversion"/>
  </si>
  <si>
    <t>DM10000</t>
    <phoneticPr fontId="2" type="noConversion"/>
  </si>
  <si>
    <t>Equipment Data Mapping</t>
    <phoneticPr fontId="2" type="noConversion"/>
  </si>
  <si>
    <t>Equipment Event Request</t>
    <phoneticPr fontId="6"/>
  </si>
  <si>
    <t xml:space="preserve">   Format(F-&gt;0)</t>
    <phoneticPr fontId="2" type="noConversion"/>
  </si>
  <si>
    <t>Permission</t>
    <phoneticPr fontId="2" type="noConversion"/>
  </si>
  <si>
    <t>dcba</t>
    <phoneticPr fontId="2" type="noConversion"/>
  </si>
  <si>
    <t>EAP Event Ack</t>
    <phoneticPr fontId="2" type="noConversion"/>
  </si>
  <si>
    <t>EAP CMD Request</t>
    <phoneticPr fontId="2" type="noConversion"/>
  </si>
  <si>
    <t>Equipment CMD Ack</t>
    <phoneticPr fontId="2" type="noConversion"/>
  </si>
  <si>
    <t>EQ-&gt;EAP</t>
  </si>
  <si>
    <t>Machine</t>
    <phoneticPr fontId="2" type="noConversion"/>
  </si>
  <si>
    <t>Machine ID</t>
    <phoneticPr fontId="2" type="noConversion"/>
  </si>
  <si>
    <t>DATE</t>
  </si>
  <si>
    <t>yyyyMMddHHmmss</t>
    <phoneticPr fontId="2" type="noConversion"/>
  </si>
  <si>
    <t>String (7) ASCII</t>
    <phoneticPr fontId="2" type="noConversion"/>
  </si>
  <si>
    <t>String (10) ASCII</t>
    <phoneticPr fontId="2" type="noConversion"/>
  </si>
  <si>
    <t>1st Char</t>
    <phoneticPr fontId="2" type="noConversion"/>
  </si>
  <si>
    <t>y(1st Char)</t>
    <phoneticPr fontId="6"/>
  </si>
  <si>
    <t>y(2st Char)</t>
    <phoneticPr fontId="2" type="noConversion"/>
  </si>
  <si>
    <t>y(3st Char)</t>
    <phoneticPr fontId="6"/>
  </si>
  <si>
    <t>y(4st Char)</t>
    <phoneticPr fontId="2" type="noConversion"/>
  </si>
  <si>
    <t>M(1st Char)</t>
    <phoneticPr fontId="6"/>
  </si>
  <si>
    <t>M(2st Char)</t>
    <phoneticPr fontId="2" type="noConversion"/>
  </si>
  <si>
    <t>d(1st Char)</t>
    <phoneticPr fontId="6"/>
  </si>
  <si>
    <t>d(2st Char)</t>
    <phoneticPr fontId="2" type="noConversion"/>
  </si>
  <si>
    <t>H(1st Char)</t>
    <phoneticPr fontId="6"/>
  </si>
  <si>
    <t>m(1st Char)</t>
    <phoneticPr fontId="6"/>
  </si>
  <si>
    <t>s(1st Char)</t>
    <phoneticPr fontId="6"/>
  </si>
  <si>
    <t>H(2st Char)</t>
    <phoneticPr fontId="2" type="noConversion"/>
  </si>
  <si>
    <t>m(2st Char)</t>
    <phoneticPr fontId="2" type="noConversion"/>
  </si>
  <si>
    <t>s(2st Char)</t>
    <phoneticPr fontId="2" type="noConversion"/>
  </si>
  <si>
    <t>UserID</t>
    <phoneticPr fontId="2" type="noConversion"/>
  </si>
  <si>
    <t>EQ-&gt;EAP</t>
    <phoneticPr fontId="2" type="noConversion"/>
  </si>
  <si>
    <t>String (3) ASCII</t>
    <phoneticPr fontId="2" type="noConversion"/>
  </si>
  <si>
    <t>User ID</t>
    <phoneticPr fontId="2" type="noConversion"/>
  </si>
  <si>
    <t>Barcode</t>
    <phoneticPr fontId="2" type="noConversion"/>
  </si>
  <si>
    <t>String (24) ASCII</t>
    <phoneticPr fontId="2" type="noConversion"/>
  </si>
  <si>
    <t>22nd Char</t>
    <phoneticPr fontId="2" type="noConversion"/>
  </si>
  <si>
    <t>24th Char</t>
    <phoneticPr fontId="2" type="noConversion"/>
  </si>
  <si>
    <t>26th Char</t>
    <phoneticPr fontId="2" type="noConversion"/>
  </si>
  <si>
    <t>28th Char</t>
    <phoneticPr fontId="2" type="noConversion"/>
  </si>
  <si>
    <t>30th Char</t>
    <phoneticPr fontId="2" type="noConversion"/>
  </si>
  <si>
    <t>32th Char</t>
    <phoneticPr fontId="2" type="noConversion"/>
  </si>
  <si>
    <t>34th Char</t>
    <phoneticPr fontId="2" type="noConversion"/>
  </si>
  <si>
    <t>36th Char</t>
    <phoneticPr fontId="2" type="noConversion"/>
  </si>
  <si>
    <t>38th Char</t>
    <phoneticPr fontId="2" type="noConversion"/>
  </si>
  <si>
    <t>40th Char</t>
    <phoneticPr fontId="2" type="noConversion"/>
  </si>
  <si>
    <t>42th Char</t>
    <phoneticPr fontId="2" type="noConversion"/>
  </si>
  <si>
    <t>44th Char</t>
    <phoneticPr fontId="2" type="noConversion"/>
  </si>
  <si>
    <t>46th Char</t>
    <phoneticPr fontId="2" type="noConversion"/>
  </si>
  <si>
    <t>48th Char</t>
    <phoneticPr fontId="2" type="noConversion"/>
  </si>
  <si>
    <t>21st Char</t>
    <phoneticPr fontId="2" type="noConversion"/>
  </si>
  <si>
    <t>23rd Char</t>
    <phoneticPr fontId="2" type="noConversion"/>
  </si>
  <si>
    <t>25th Char</t>
    <phoneticPr fontId="2" type="noConversion"/>
  </si>
  <si>
    <t>27th Char</t>
    <phoneticPr fontId="2" type="noConversion"/>
  </si>
  <si>
    <t>29th Char</t>
    <phoneticPr fontId="2" type="noConversion"/>
  </si>
  <si>
    <t>31th Char</t>
    <phoneticPr fontId="2" type="noConversion"/>
  </si>
  <si>
    <t>33th Char</t>
    <phoneticPr fontId="2" type="noConversion"/>
  </si>
  <si>
    <t>35th Char</t>
    <phoneticPr fontId="2" type="noConversion"/>
  </si>
  <si>
    <t>37th Char</t>
    <phoneticPr fontId="2" type="noConversion"/>
  </si>
  <si>
    <t>39th Char</t>
    <phoneticPr fontId="2" type="noConversion"/>
  </si>
  <si>
    <t>41th Char</t>
    <phoneticPr fontId="2" type="noConversion"/>
  </si>
  <si>
    <t>43th Char</t>
    <phoneticPr fontId="2" type="noConversion"/>
  </si>
  <si>
    <t>45th Char</t>
    <phoneticPr fontId="2" type="noConversion"/>
  </si>
  <si>
    <t>47th Char</t>
    <phoneticPr fontId="2" type="noConversion"/>
  </si>
  <si>
    <t>RtnResult</t>
    <phoneticPr fontId="2" type="noConversion"/>
  </si>
  <si>
    <t>00ba</t>
    <phoneticPr fontId="2" type="noConversion"/>
  </si>
  <si>
    <t>EAP-&gt;EQ</t>
    <phoneticPr fontId="2" type="noConversion"/>
  </si>
  <si>
    <r>
      <t>[</t>
    </r>
    <r>
      <rPr>
        <sz val="12"/>
        <rFont val="微軟正黑體"/>
        <family val="2"/>
        <charset val="136"/>
      </rPr>
      <t>工單進站</t>
    </r>
    <r>
      <rPr>
        <sz val="12"/>
        <rFont val="Arial"/>
        <family val="2"/>
      </rPr>
      <t xml:space="preserve"> : TrackInReq ]</t>
    </r>
    <phoneticPr fontId="2" type="noConversion"/>
  </si>
  <si>
    <r>
      <t>[</t>
    </r>
    <r>
      <rPr>
        <sz val="12"/>
        <rFont val="微軟正黑體"/>
        <family val="2"/>
        <charset val="136"/>
      </rPr>
      <t>人員登入驗證</t>
    </r>
    <r>
      <rPr>
        <sz val="12"/>
        <rFont val="Arial"/>
        <family val="2"/>
      </rPr>
      <t xml:space="preserve"> : UserID_Verify Area]</t>
    </r>
    <phoneticPr fontId="2" type="noConversion"/>
  </si>
  <si>
    <t>MaterialID</t>
    <phoneticPr fontId="2" type="noConversion"/>
  </si>
  <si>
    <t>Material ID</t>
    <phoneticPr fontId="2" type="noConversion"/>
  </si>
  <si>
    <t>CassetteID</t>
    <phoneticPr fontId="2" type="noConversion"/>
  </si>
  <si>
    <t>WorkOrder</t>
    <phoneticPr fontId="2" type="noConversion"/>
  </si>
  <si>
    <t>Work Order Number</t>
    <phoneticPr fontId="2" type="noConversion"/>
  </si>
  <si>
    <t>ToolingID</t>
    <phoneticPr fontId="2" type="noConversion"/>
  </si>
  <si>
    <t>Tooling ID</t>
    <phoneticPr fontId="2" type="noConversion"/>
  </si>
  <si>
    <t>Qty</t>
    <phoneticPr fontId="2" type="noConversion"/>
  </si>
  <si>
    <t>Quantity</t>
    <phoneticPr fontId="2" type="noConversion"/>
  </si>
  <si>
    <t>UINT(0~65535)</t>
    <phoneticPr fontId="2" type="noConversion"/>
  </si>
  <si>
    <t>PanelList[0]</t>
    <phoneticPr fontId="2" type="noConversion"/>
  </si>
  <si>
    <t>Panel List [0]</t>
    <phoneticPr fontId="2" type="noConversion"/>
  </si>
  <si>
    <t>PanelList[1]</t>
    <phoneticPr fontId="2" type="noConversion"/>
  </si>
  <si>
    <t>Panel List [1]</t>
    <phoneticPr fontId="2" type="noConversion"/>
  </si>
  <si>
    <t>PanelList[2]</t>
    <phoneticPr fontId="2" type="noConversion"/>
  </si>
  <si>
    <t>Panel List [2]</t>
    <phoneticPr fontId="2" type="noConversion"/>
  </si>
  <si>
    <t>PanelList[3]</t>
    <phoneticPr fontId="2" type="noConversion"/>
  </si>
  <si>
    <t>Panel List [3]</t>
    <phoneticPr fontId="2" type="noConversion"/>
  </si>
  <si>
    <t>PanelList[4]</t>
  </si>
  <si>
    <t>Panel List [4]</t>
  </si>
  <si>
    <t>PanelList[5]</t>
  </si>
  <si>
    <t>Panel List [5]</t>
  </si>
  <si>
    <t>PanelList[6]</t>
  </si>
  <si>
    <t>Panel List [6]</t>
  </si>
  <si>
    <t>PanelList[7]</t>
  </si>
  <si>
    <t>Panel List [7]</t>
  </si>
  <si>
    <t>PanelList[8]</t>
  </si>
  <si>
    <t>Panel List [8]</t>
  </si>
  <si>
    <t>PanelList[9]</t>
  </si>
  <si>
    <t>Panel List [9]</t>
  </si>
  <si>
    <r>
      <t>[</t>
    </r>
    <r>
      <rPr>
        <sz val="12"/>
        <rFont val="微軟正黑體"/>
        <family val="2"/>
        <charset val="136"/>
      </rPr>
      <t>工單出站</t>
    </r>
    <r>
      <rPr>
        <sz val="12"/>
        <rFont val="Arial"/>
        <family val="2"/>
      </rPr>
      <t xml:space="preserve"> : TrackOutReq]</t>
    </r>
    <phoneticPr fontId="2" type="noConversion"/>
  </si>
  <si>
    <t>Result</t>
    <phoneticPr fontId="2" type="noConversion"/>
  </si>
  <si>
    <t>NGCode</t>
    <phoneticPr fontId="2" type="noConversion"/>
  </si>
  <si>
    <t>NG Reason Code</t>
    <phoneticPr fontId="2" type="noConversion"/>
  </si>
  <si>
    <r>
      <t>[</t>
    </r>
    <r>
      <rPr>
        <sz val="12"/>
        <rFont val="微軟正黑體"/>
        <family val="2"/>
        <charset val="136"/>
      </rPr>
      <t>警報上報</t>
    </r>
    <r>
      <rPr>
        <sz val="12"/>
        <rFont val="Arial"/>
        <family val="2"/>
      </rPr>
      <t xml:space="preserve"> : AlarmReport]</t>
    </r>
    <phoneticPr fontId="2" type="noConversion"/>
  </si>
  <si>
    <t>AlarmStatus</t>
    <phoneticPr fontId="2" type="noConversion"/>
  </si>
  <si>
    <t>AlarmType</t>
    <phoneticPr fontId="2" type="noConversion"/>
  </si>
  <si>
    <t>INT(1)</t>
    <phoneticPr fontId="2" type="noConversion"/>
  </si>
  <si>
    <t>1 : S / 2 : E</t>
    <phoneticPr fontId="2" type="noConversion"/>
  </si>
  <si>
    <t>1 : Alarm / 2 :Warning</t>
    <phoneticPr fontId="2" type="noConversion"/>
  </si>
  <si>
    <t>1 : PASS / 2 :FAIL</t>
    <phoneticPr fontId="2" type="noConversion"/>
  </si>
  <si>
    <t>AlarmCode</t>
    <phoneticPr fontId="2" type="noConversion"/>
  </si>
  <si>
    <t>Alarm Code</t>
    <phoneticPr fontId="2" type="noConversion"/>
  </si>
  <si>
    <t>String (2) ASCII</t>
    <phoneticPr fontId="2" type="noConversion"/>
  </si>
  <si>
    <r>
      <t>[</t>
    </r>
    <r>
      <rPr>
        <sz val="12"/>
        <rFont val="微軟正黑體"/>
        <family val="2"/>
        <charset val="136"/>
      </rPr>
      <t>狀態變更 :</t>
    </r>
    <r>
      <rPr>
        <sz val="12"/>
        <rFont val="Arial"/>
        <family val="2"/>
      </rPr>
      <t xml:space="preserve"> StatusChange]</t>
    </r>
    <phoneticPr fontId="2" type="noConversion"/>
  </si>
  <si>
    <t>OldStatus</t>
    <phoneticPr fontId="2" type="noConversion"/>
  </si>
  <si>
    <t>Old Status</t>
    <phoneticPr fontId="2" type="noConversion"/>
  </si>
  <si>
    <t>INT(1) 0~10</t>
    <phoneticPr fontId="2" type="noConversion"/>
  </si>
  <si>
    <t>NewStatus</t>
    <phoneticPr fontId="2" type="noConversion"/>
  </si>
  <si>
    <t>New Status</t>
    <phoneticPr fontId="2" type="noConversion"/>
  </si>
  <si>
    <r>
      <t>[</t>
    </r>
    <r>
      <rPr>
        <sz val="12"/>
        <rFont val="微軟正黑體"/>
        <family val="2"/>
        <charset val="136"/>
      </rPr>
      <t>載板入料</t>
    </r>
    <r>
      <rPr>
        <sz val="12"/>
        <rFont val="Arial"/>
        <family val="2"/>
      </rPr>
      <t xml:space="preserve"> : Panel In]</t>
    </r>
    <phoneticPr fontId="2" type="noConversion"/>
  </si>
  <si>
    <t xml:space="preserve">	PanelID</t>
    <phoneticPr fontId="2" type="noConversion"/>
  </si>
  <si>
    <t xml:space="preserve">	Panel ID</t>
    <phoneticPr fontId="2" type="noConversion"/>
  </si>
  <si>
    <t xml:space="preserve">	SlotNo</t>
    <phoneticPr fontId="2" type="noConversion"/>
  </si>
  <si>
    <t>UINT(1) 1~65535</t>
    <phoneticPr fontId="2" type="noConversion"/>
  </si>
  <si>
    <t>Slot Number(Calculations begin at the bottom)</t>
    <phoneticPr fontId="2" type="noConversion"/>
  </si>
  <si>
    <r>
      <t>[</t>
    </r>
    <r>
      <rPr>
        <sz val="12"/>
        <rFont val="微軟正黑體"/>
        <family val="2"/>
        <charset val="136"/>
      </rPr>
      <t>載板出料</t>
    </r>
    <r>
      <rPr>
        <sz val="12"/>
        <rFont val="Arial"/>
        <family val="2"/>
      </rPr>
      <t xml:space="preserve"> : Panel Out]</t>
    </r>
    <phoneticPr fontId="2" type="noConversion"/>
  </si>
  <si>
    <t>p000</t>
    <phoneticPr fontId="2" type="noConversion"/>
  </si>
  <si>
    <r>
      <t>[</t>
    </r>
    <r>
      <rPr>
        <sz val="12"/>
        <rFont val="微軟正黑體"/>
        <family val="2"/>
        <charset val="136"/>
      </rPr>
      <t>遠端指令</t>
    </r>
    <r>
      <rPr>
        <sz val="12"/>
        <rFont val="Arial"/>
        <family val="2"/>
      </rPr>
      <t>PP_Select</t>
    </r>
    <r>
      <rPr>
        <sz val="12"/>
        <rFont val="微軟正黑體"/>
        <family val="2"/>
        <charset val="136"/>
      </rPr>
      <t xml:space="preserve"> : </t>
    </r>
    <r>
      <rPr>
        <sz val="12"/>
        <rFont val="Arial"/>
        <family val="2"/>
      </rPr>
      <t>RemoteCMD PP_Select]</t>
    </r>
    <phoneticPr fontId="2" type="noConversion"/>
  </si>
  <si>
    <t>001</t>
    <phoneticPr fontId="2" type="noConversion"/>
  </si>
  <si>
    <t>002</t>
  </si>
  <si>
    <t>003</t>
  </si>
  <si>
    <t>000</t>
    <phoneticPr fontId="2" type="noConversion"/>
  </si>
  <si>
    <t>Cyntec Co., Ltd.</t>
    <phoneticPr fontId="2" type="noConversion"/>
  </si>
  <si>
    <t>乾 科 技 股 份 有 限 公 司</t>
    <phoneticPr fontId="2" type="noConversion"/>
  </si>
  <si>
    <t>04/7/26</t>
    <phoneticPr fontId="2" type="noConversion"/>
  </si>
  <si>
    <t>Data Concentrator</t>
    <phoneticPr fontId="2" type="noConversion"/>
  </si>
  <si>
    <r>
      <rPr>
        <sz val="12"/>
        <rFont val="微軟正黑體"/>
        <family val="2"/>
        <charset val="136"/>
      </rPr>
      <t>【</t>
    </r>
    <r>
      <rPr>
        <sz val="12"/>
        <rFont val="Arial"/>
        <family val="2"/>
      </rPr>
      <t>Loader</t>
    </r>
    <r>
      <rPr>
        <sz val="12"/>
        <rFont val="微軟正黑體"/>
        <family val="2"/>
        <charset val="136"/>
      </rPr>
      <t>】</t>
    </r>
    <phoneticPr fontId="2" type="noConversion"/>
  </si>
  <si>
    <t>PLC Area</t>
    <phoneticPr fontId="7" type="noConversion"/>
  </si>
  <si>
    <t>Modbus Area</t>
    <phoneticPr fontId="2" type="noConversion"/>
  </si>
  <si>
    <t>Data</t>
    <phoneticPr fontId="2" type="noConversion"/>
  </si>
  <si>
    <t>PLC Address</t>
    <phoneticPr fontId="2" type="noConversion"/>
  </si>
  <si>
    <t>Modbus Adress</t>
    <phoneticPr fontId="2" type="noConversion"/>
  </si>
  <si>
    <t>PLC Start Adress</t>
    <phoneticPr fontId="2" type="noConversion"/>
  </si>
  <si>
    <t>Modbus Start Adress</t>
    <phoneticPr fontId="2" type="noConversion"/>
  </si>
  <si>
    <t>RtnCode</t>
    <phoneticPr fontId="2" type="noConversion"/>
  </si>
  <si>
    <r>
      <t>[</t>
    </r>
    <r>
      <rPr>
        <sz val="12"/>
        <rFont val="Microsoft JhengHei"/>
        <family val="2"/>
      </rPr>
      <t xml:space="preserve">觸發訊號 : </t>
    </r>
    <r>
      <rPr>
        <sz val="12"/>
        <rFont val="Arial"/>
        <family val="2"/>
      </rPr>
      <t>Request and Ack]</t>
    </r>
    <phoneticPr fontId="2" type="noConversion"/>
  </si>
  <si>
    <t>000a</t>
    <phoneticPr fontId="2" type="noConversion"/>
  </si>
  <si>
    <t>a : RemoteCMD (PP_SELECT)</t>
    <phoneticPr fontId="2" type="noConversion"/>
  </si>
  <si>
    <t>hhhh</t>
    <phoneticPr fontId="2" type="noConversion"/>
  </si>
  <si>
    <t>PASS :  0 / FAIL : 1~99</t>
    <phoneticPr fontId="2" type="noConversion"/>
  </si>
  <si>
    <t>INT(2)</t>
    <phoneticPr fontId="2" type="noConversion"/>
  </si>
  <si>
    <t>000e</t>
    <phoneticPr fontId="2" type="noConversion"/>
  </si>
  <si>
    <t xml:space="preserve">a :  UserID_Verify
b : TrackInReq 
c :  AlarmReport 
d : StatusChangeReport 
e : PanelInReport </t>
    <phoneticPr fontId="6"/>
  </si>
  <si>
    <t xml:space="preserve">a :  AlarmReport 
b : StatusChangeReport </t>
    <phoneticPr fontId="6"/>
  </si>
  <si>
    <t>a :  UserID_Verify
b : TrackOutReq 
c :  AlarmReport 
d : StatusChangeReport 
e : PanelOutReport</t>
    <phoneticPr fontId="6"/>
  </si>
  <si>
    <t>DM10479</t>
    <phoneticPr fontId="7" type="noConversion"/>
  </si>
  <si>
    <t>DM10500</t>
    <phoneticPr fontId="2" type="noConversion"/>
  </si>
  <si>
    <t>DM10649</t>
    <phoneticPr fontId="7" type="noConversion"/>
  </si>
  <si>
    <t>DM10700</t>
    <phoneticPr fontId="2" type="noConversion"/>
  </si>
  <si>
    <t>DM11139</t>
    <phoneticPr fontId="7" type="noConversion"/>
  </si>
  <si>
    <t>1.1</t>
    <phoneticPr fontId="2" type="noConversion"/>
  </si>
  <si>
    <t>Update</t>
    <phoneticPr fontId="2" type="noConversion"/>
  </si>
  <si>
    <t>04/8/26</t>
    <phoneticPr fontId="2" type="noConversion"/>
  </si>
  <si>
    <t>004</t>
  </si>
  <si>
    <t>AliveCheck (EQ Startup)</t>
    <phoneticPr fontId="2" type="noConversion"/>
  </si>
  <si>
    <t xml:space="preserve">a :  UserID_Verify
b : TrackInReq 
c :  AlarmReport 
d : StatusChangeReport 
e : PanelInReport 
</t>
    <phoneticPr fontId="6"/>
  </si>
  <si>
    <r>
      <t>a : AliveCheck (EQ Startup)</t>
    </r>
    <r>
      <rPr>
        <sz val="12"/>
        <rFont val="微軟正黑體"/>
        <family val="2"/>
        <charset val="136"/>
      </rPr>
      <t>，</t>
    </r>
    <r>
      <rPr>
        <sz val="12"/>
        <rFont val="Arial"/>
        <family val="2"/>
      </rPr>
      <t>ON/OFF once every 15 seconds.</t>
    </r>
    <phoneticPr fontId="2" type="noConversion"/>
  </si>
  <si>
    <t>005</t>
  </si>
  <si>
    <t>AliveCheck (EAP StartUp)</t>
    <phoneticPr fontId="2" type="noConversion"/>
  </si>
  <si>
    <r>
      <t>a : AliveCheck (EAP StartUp)</t>
    </r>
    <r>
      <rPr>
        <sz val="12"/>
        <rFont val="微軟正黑體"/>
        <family val="2"/>
        <charset val="136"/>
      </rPr>
      <t>，</t>
    </r>
    <r>
      <rPr>
        <sz val="12"/>
        <rFont val="Arial"/>
        <family val="2"/>
      </rPr>
      <t>ON/OFF once every 15 seconds.</t>
    </r>
    <phoneticPr fontId="2" type="noConversion"/>
  </si>
  <si>
    <t>RecipeID_Loader</t>
    <phoneticPr fontId="2" type="noConversion"/>
  </si>
  <si>
    <t>RecipeID_Development</t>
    <phoneticPr fontId="2" type="noConversion"/>
  </si>
  <si>
    <t>RecipeID_Unloader</t>
    <phoneticPr fontId="2" type="noConversion"/>
  </si>
  <si>
    <t>RecipeID for Loader</t>
    <phoneticPr fontId="2" type="noConversion"/>
  </si>
  <si>
    <t>RecipeID for Development</t>
    <phoneticPr fontId="2" type="noConversion"/>
  </si>
  <si>
    <t>RecipeID for Unloader</t>
    <phoneticPr fontId="2" type="noConversion"/>
  </si>
  <si>
    <t>L-&gt;L</t>
    <phoneticPr fontId="2" type="noConversion"/>
  </si>
  <si>
    <t>L-&gt;D</t>
    <phoneticPr fontId="2" type="noConversion"/>
  </si>
  <si>
    <t>L-&gt;UL</t>
    <phoneticPr fontId="2" type="noConversion"/>
  </si>
  <si>
    <t>WorkOrder_1</t>
    <phoneticPr fontId="2" type="noConversion"/>
  </si>
  <si>
    <t>Common</t>
    <phoneticPr fontId="2" type="noConversion"/>
  </si>
  <si>
    <t>Work Order 1 Number</t>
    <phoneticPr fontId="2" type="noConversion"/>
  </si>
  <si>
    <t>RecipeID Change for Loader</t>
    <phoneticPr fontId="2" type="noConversion"/>
  </si>
  <si>
    <t>RecipeID Change for Unloader</t>
    <phoneticPr fontId="2" type="noConversion"/>
  </si>
  <si>
    <t>WorkOrder_2</t>
    <phoneticPr fontId="2" type="noConversion"/>
  </si>
  <si>
    <t>Work Order 2 Number</t>
    <phoneticPr fontId="2" type="noConversion"/>
  </si>
  <si>
    <t>WorkOrder_3</t>
    <phoneticPr fontId="2" type="noConversion"/>
  </si>
  <si>
    <t>Work Order 3 Number</t>
    <phoneticPr fontId="2" type="noConversion"/>
  </si>
  <si>
    <t>WorkOrder_4</t>
    <phoneticPr fontId="2" type="noConversion"/>
  </si>
  <si>
    <t>Work Order 4 Number</t>
    <phoneticPr fontId="2" type="noConversion"/>
  </si>
  <si>
    <t>WorkOrder_5</t>
    <phoneticPr fontId="2" type="noConversion"/>
  </si>
  <si>
    <t>Work Order 5 Number</t>
    <phoneticPr fontId="2" type="noConversion"/>
  </si>
  <si>
    <t>WorkOrder_6</t>
    <phoneticPr fontId="2" type="noConversion"/>
  </si>
  <si>
    <t>Work Order 6 Number</t>
    <phoneticPr fontId="2" type="noConversion"/>
  </si>
  <si>
    <t>WorkOrder_7</t>
    <phoneticPr fontId="2" type="noConversion"/>
  </si>
  <si>
    <t>Work Order 7 Number</t>
    <phoneticPr fontId="2" type="noConversion"/>
  </si>
  <si>
    <t>WorkOrder_8</t>
    <phoneticPr fontId="2" type="noConversion"/>
  </si>
  <si>
    <t>Work Order 8 Number</t>
    <phoneticPr fontId="2" type="noConversion"/>
  </si>
  <si>
    <t>WorkOrder_9</t>
    <phoneticPr fontId="2" type="noConversion"/>
  </si>
  <si>
    <t>Work Order 9 Number</t>
    <phoneticPr fontId="2" type="noConversion"/>
  </si>
  <si>
    <t>WorkOrder_10</t>
    <phoneticPr fontId="2" type="noConversion"/>
  </si>
  <si>
    <t>Work Order 10 Number</t>
    <phoneticPr fontId="2" type="noConversion"/>
  </si>
  <si>
    <t>Current_RecipeID_Loader</t>
    <phoneticPr fontId="2" type="noConversion"/>
  </si>
  <si>
    <t>Current_RecipeID_Unloader</t>
    <phoneticPr fontId="2" type="noConversion"/>
  </si>
  <si>
    <t>1.2</t>
    <phoneticPr fontId="2" type="noConversion"/>
  </si>
  <si>
    <t>Add Common Adress and Flow Chart</t>
    <phoneticPr fontId="2" type="noConversion"/>
  </si>
  <si>
    <t>DM11000</t>
    <phoneticPr fontId="2" type="noConversion"/>
  </si>
  <si>
    <t>DM12000</t>
    <phoneticPr fontId="2" type="noConversion"/>
  </si>
  <si>
    <t>DM13000</t>
    <phoneticPr fontId="2" type="noConversion"/>
  </si>
  <si>
    <r>
      <t>[</t>
    </r>
    <r>
      <rPr>
        <sz val="12"/>
        <rFont val="微軟正黑體"/>
        <family val="2"/>
        <charset val="136"/>
      </rPr>
      <t>共用資料區</t>
    </r>
    <r>
      <rPr>
        <sz val="12"/>
        <rFont val="Arial"/>
        <family val="2"/>
      </rPr>
      <t xml:space="preserve"> : Common Data Area]</t>
    </r>
    <phoneticPr fontId="2" type="noConversion"/>
  </si>
  <si>
    <t>300</t>
    <phoneticPr fontId="2" type="noConversion"/>
  </si>
  <si>
    <t>480</t>
    <phoneticPr fontId="2" type="noConversion"/>
  </si>
  <si>
    <t>00aa</t>
    <phoneticPr fontId="2" type="noConversion"/>
  </si>
  <si>
    <t>uuuu</t>
    <phoneticPr fontId="2" type="noConversion"/>
  </si>
  <si>
    <t>04/14/26</t>
    <phoneticPr fontId="2" type="noConversion"/>
  </si>
  <si>
    <t>【營錡酸洗】</t>
    <phoneticPr fontId="2" type="noConversion"/>
  </si>
  <si>
    <t>Pickling</t>
    <phoneticPr fontId="2" type="noConversion"/>
  </si>
  <si>
    <t>RecipeID_Pickling</t>
    <phoneticPr fontId="2" type="noConversion"/>
  </si>
  <si>
    <t>Current_RecipeID_Pickling</t>
    <phoneticPr fontId="2" type="noConversion"/>
  </si>
  <si>
    <t>RecipeID Change for Pickling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</si>
</sst>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0000"/>
  </numFmts>
  <fonts count="21">
    <font>
      <sz val="12"/>
      <name val="細明體"/>
      <family val="3"/>
      <charset val="136"/>
    </font>
    <font>
      <sz val="12"/>
      <name val="細明體"/>
      <family val="3"/>
      <charset val="136"/>
    </font>
    <font>
      <sz val="9"/>
      <name val="細明體"/>
      <family val="3"/>
      <charset val="136"/>
    </font>
    <font>
      <sz val="12"/>
      <name val="標楷體"/>
      <family val="4"/>
      <charset val="136"/>
    </font>
    <font>
      <sz val="12"/>
      <name val="新細明體"/>
      <family val="1"/>
      <charset val="136"/>
    </font>
    <font>
      <sz val="11"/>
      <name val="ＭＳ Ｐゴシック"/>
      <family val="2"/>
    </font>
    <font>
      <sz val="6"/>
      <name val="ＭＳ Ｐゴシック"/>
      <family val="3"/>
      <charset val="255"/>
    </font>
    <font>
      <sz val="9"/>
      <name val="新細明體"/>
      <family val="1"/>
      <charset val="136"/>
    </font>
    <font>
      <sz val="12"/>
      <name val="Arial"/>
      <family val="2"/>
    </font>
    <font>
      <b/>
      <sz val="12"/>
      <name val="Arial"/>
      <family val="2"/>
    </font>
    <font>
      <b/>
      <sz val="12"/>
      <name val="標楷體"/>
      <family val="4"/>
      <charset val="136"/>
    </font>
    <font>
      <b/>
      <i/>
      <sz val="12"/>
      <name val="Arial"/>
      <family val="2"/>
    </font>
    <font>
      <sz val="11"/>
      <name val="Arial"/>
      <family val="2"/>
    </font>
    <font>
      <sz val="12"/>
      <color indexed="8"/>
      <name val="Arial"/>
      <family val="2"/>
    </font>
    <font>
      <sz val="12"/>
      <name val="細明體"/>
      <family val="3"/>
      <charset val="136"/>
    </font>
    <font>
      <sz val="11"/>
      <name val="?"/>
      <family val="3"/>
      <charset val="136"/>
    </font>
    <font>
      <sz val="12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Microsoft JhengHei"/>
      <family val="2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71">
    <xf numFmtId="0" fontId="0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/>
    <xf numFmtId="0" fontId="4" fillId="0" borderId="0"/>
    <xf numFmtId="0" fontId="14" fillId="0" borderId="0"/>
    <xf numFmtId="0" fontId="15" fillId="0" borderId="0"/>
  </cellStyleXfs>
  <cellXfs count="173">
    <xf numFmtId="0" fontId="0" fillId="0" borderId="0" xfId="0"/>
    <xf numFmtId="0" fontId="3" fillId="2" borderId="1" xfId="0" applyFont="1" applyFill="1" applyBorder="1" applyAlignment="1">
      <alignment horizontal="center" wrapText="1"/>
    </xf>
    <xf numFmtId="176" fontId="3" fillId="2" borderId="1" xfId="0" applyNumberFormat="1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8" fillId="0" borderId="0" xfId="0" applyFont="1"/>
    <xf numFmtId="176" fontId="8" fillId="0" borderId="0" xfId="0" applyNumberFormat="1" applyFont="1" applyAlignment="1">
      <alignment horizontal="center"/>
    </xf>
    <xf numFmtId="0" fontId="8" fillId="0" borderId="0" xfId="0" applyFont="1" applyAlignment="1">
      <alignment wrapText="1"/>
    </xf>
    <xf numFmtId="0" fontId="8" fillId="0" borderId="1" xfId="0" applyFont="1" applyBorder="1" applyAlignment="1">
      <alignment horizontal="center" wrapText="1"/>
    </xf>
    <xf numFmtId="49" fontId="8" fillId="0" borderId="1" xfId="0" applyNumberFormat="1" applyFont="1" applyBorder="1" applyAlignment="1">
      <alignment horizontal="center" wrapText="1"/>
    </xf>
    <xf numFmtId="176" fontId="8" fillId="0" borderId="1" xfId="0" applyNumberFormat="1" applyFont="1" applyBorder="1" applyAlignment="1">
      <alignment horizontal="left" wrapText="1"/>
    </xf>
    <xf numFmtId="0" fontId="8" fillId="0" borderId="1" xfId="0" applyFont="1" applyBorder="1" applyAlignment="1">
      <alignment horizontal="center"/>
    </xf>
    <xf numFmtId="176" fontId="8" fillId="0" borderId="1" xfId="0" applyNumberFormat="1" applyFont="1" applyBorder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0" xfId="0" applyFont="1" applyAlignment="1">
      <alignment horizontal="left"/>
    </xf>
    <xf numFmtId="49" fontId="8" fillId="0" borderId="0" xfId="0" applyNumberFormat="1" applyFont="1" applyAlignment="1">
      <alignment vertical="center"/>
    </xf>
    <xf numFmtId="49" fontId="8" fillId="2" borderId="2" xfId="0" applyNumberFormat="1" applyFont="1" applyFill="1" applyBorder="1" applyAlignment="1">
      <alignment horizontal="center" vertical="center" wrapText="1"/>
    </xf>
    <xf numFmtId="49" fontId="8" fillId="0" borderId="3" xfId="0" applyNumberFormat="1" applyFont="1" applyBorder="1" applyAlignment="1">
      <alignment vertical="center"/>
    </xf>
    <xf numFmtId="49" fontId="8" fillId="0" borderId="4" xfId="0" applyNumberFormat="1" applyFont="1" applyBorder="1" applyAlignment="1">
      <alignment vertical="center"/>
    </xf>
    <xf numFmtId="49" fontId="8" fillId="0" borderId="5" xfId="0" applyNumberFormat="1" applyFont="1" applyBorder="1" applyAlignment="1">
      <alignment vertical="center"/>
    </xf>
    <xf numFmtId="49" fontId="8" fillId="0" borderId="6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49" fontId="8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center" vertical="center"/>
    </xf>
    <xf numFmtId="49" fontId="8" fillId="0" borderId="7" xfId="167" applyNumberFormat="1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vertical="center"/>
    </xf>
    <xf numFmtId="49" fontId="8" fillId="0" borderId="9" xfId="0" applyNumberFormat="1" applyFont="1" applyBorder="1" applyAlignment="1">
      <alignment vertical="center"/>
    </xf>
    <xf numFmtId="49" fontId="8" fillId="0" borderId="10" xfId="0" applyNumberFormat="1" applyFont="1" applyBorder="1" applyAlignment="1">
      <alignment vertical="center"/>
    </xf>
    <xf numFmtId="0" fontId="8" fillId="2" borderId="11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4" xfId="0" applyFont="1" applyBorder="1" applyAlignment="1">
      <alignment vertical="center" wrapText="1"/>
    </xf>
    <xf numFmtId="0" fontId="8" fillId="0" borderId="1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2" borderId="11" xfId="0" applyFont="1" applyFill="1" applyBorder="1" applyAlignment="1">
      <alignment horizontal="center" wrapText="1"/>
    </xf>
    <xf numFmtId="0" fontId="8" fillId="0" borderId="15" xfId="0" applyFont="1" applyBorder="1" applyAlignment="1">
      <alignment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0" borderId="1" xfId="166" applyFont="1" applyBorder="1"/>
    <xf numFmtId="0" fontId="8" fillId="0" borderId="11" xfId="0" applyFont="1" applyBorder="1" applyAlignment="1">
      <alignment horizontal="left" vertical="center" wrapText="1"/>
    </xf>
    <xf numFmtId="0" fontId="8" fillId="0" borderId="17" xfId="0" applyFont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0" fontId="8" fillId="0" borderId="19" xfId="166" applyFont="1" applyBorder="1" applyAlignment="1">
      <alignment horizontal="center" vertical="center"/>
    </xf>
    <xf numFmtId="49" fontId="8" fillId="0" borderId="0" xfId="0" applyNumberFormat="1" applyFont="1" applyAlignment="1">
      <alignment horizontal="center" wrapText="1"/>
    </xf>
    <xf numFmtId="49" fontId="8" fillId="0" borderId="2" xfId="0" applyNumberFormat="1" applyFont="1" applyBorder="1" applyAlignment="1">
      <alignment horizontal="center" vertical="center" wrapText="1"/>
    </xf>
    <xf numFmtId="49" fontId="8" fillId="0" borderId="4" xfId="0" applyNumberFormat="1" applyFont="1" applyBorder="1" applyAlignment="1">
      <alignment horizontal="center" vertical="center" wrapText="1"/>
    </xf>
    <xf numFmtId="49" fontId="8" fillId="0" borderId="21" xfId="0" applyNumberFormat="1" applyFont="1" applyBorder="1" applyAlignment="1">
      <alignment horizontal="center" vertical="center" wrapText="1"/>
    </xf>
    <xf numFmtId="49" fontId="12" fillId="0" borderId="11" xfId="0" applyNumberFormat="1" applyFont="1" applyBorder="1" applyAlignment="1">
      <alignment horizontal="center" vertical="center" wrapText="1"/>
    </xf>
    <xf numFmtId="49" fontId="8" fillId="0" borderId="0" xfId="0" applyNumberFormat="1" applyFont="1" applyAlignment="1">
      <alignment horizontal="center"/>
    </xf>
    <xf numFmtId="49" fontId="3" fillId="2" borderId="1" xfId="0" applyNumberFormat="1" applyFont="1" applyFill="1" applyBorder="1" applyAlignment="1">
      <alignment horizontal="center" wrapText="1"/>
    </xf>
    <xf numFmtId="49" fontId="8" fillId="0" borderId="1" xfId="0" quotePrefix="1" applyNumberFormat="1" applyFont="1" applyBorder="1" applyAlignment="1">
      <alignment horizontal="center" wrapText="1"/>
    </xf>
    <xf numFmtId="49" fontId="8" fillId="0" borderId="1" xfId="0" applyNumberFormat="1" applyFont="1" applyBorder="1" applyAlignment="1">
      <alignment horizontal="center"/>
    </xf>
    <xf numFmtId="49" fontId="13" fillId="0" borderId="11" xfId="0" applyNumberFormat="1" applyFont="1" applyBorder="1" applyAlignment="1">
      <alignment horizontal="center" vertical="center" wrapText="1"/>
    </xf>
    <xf numFmtId="49" fontId="13" fillId="0" borderId="19" xfId="0" applyNumberFormat="1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 wrapText="1"/>
    </xf>
    <xf numFmtId="0" fontId="8" fillId="0" borderId="4" xfId="0" applyFont="1" applyBorder="1" applyAlignment="1">
      <alignment horizontal="center" wrapText="1"/>
    </xf>
    <xf numFmtId="0" fontId="8" fillId="0" borderId="11" xfId="166" applyFont="1" applyBorder="1" applyAlignment="1">
      <alignment vertical="center"/>
    </xf>
    <xf numFmtId="177" fontId="8" fillId="0" borderId="11" xfId="166" quotePrefix="1" applyNumberFormat="1" applyFont="1" applyBorder="1" applyAlignment="1">
      <alignment horizontal="center" vertical="center"/>
    </xf>
    <xf numFmtId="177" fontId="8" fillId="0" borderId="19" xfId="166" quotePrefix="1" applyNumberFormat="1" applyFont="1" applyBorder="1" applyAlignment="1">
      <alignment horizontal="center" vertical="center"/>
    </xf>
    <xf numFmtId="0" fontId="8" fillId="0" borderId="1" xfId="166" applyFont="1" applyBorder="1" applyAlignment="1">
      <alignment vertical="center"/>
    </xf>
    <xf numFmtId="0" fontId="8" fillId="2" borderId="19" xfId="0" applyFont="1" applyFill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8" fillId="0" borderId="1" xfId="166" applyFont="1" applyBorder="1" applyAlignment="1">
      <alignment vertical="center" wrapText="1"/>
    </xf>
    <xf numFmtId="0" fontId="8" fillId="0" borderId="11" xfId="166" applyFont="1" applyBorder="1" applyAlignment="1">
      <alignment vertical="center" wrapText="1"/>
    </xf>
    <xf numFmtId="0" fontId="8" fillId="0" borderId="1" xfId="166" applyFont="1" applyBorder="1" applyAlignment="1">
      <alignment horizontal="left" vertical="center" wrapText="1"/>
    </xf>
    <xf numFmtId="0" fontId="8" fillId="0" borderId="1" xfId="166" applyFont="1" applyBorder="1" applyAlignment="1">
      <alignment horizontal="center" vertical="center"/>
    </xf>
    <xf numFmtId="0" fontId="8" fillId="0" borderId="25" xfId="166" applyFont="1" applyBorder="1" applyAlignment="1">
      <alignment horizontal="center" vertical="center"/>
    </xf>
    <xf numFmtId="0" fontId="8" fillId="0" borderId="25" xfId="166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166" applyFont="1" applyBorder="1" applyAlignment="1">
      <alignment horizontal="center" vertical="center"/>
    </xf>
    <xf numFmtId="49" fontId="13" fillId="0" borderId="24" xfId="0" applyNumberFormat="1" applyFont="1" applyBorder="1" applyAlignment="1">
      <alignment horizontal="center" vertical="center" wrapText="1"/>
    </xf>
    <xf numFmtId="0" fontId="8" fillId="0" borderId="0" xfId="166" applyFont="1" applyAlignment="1">
      <alignment horizontal="center" vertical="center" wrapText="1"/>
    </xf>
    <xf numFmtId="49" fontId="13" fillId="0" borderId="27" xfId="0" applyNumberFormat="1" applyFont="1" applyBorder="1" applyAlignment="1">
      <alignment horizontal="center" vertical="center" wrapText="1"/>
    </xf>
    <xf numFmtId="49" fontId="13" fillId="0" borderId="28" xfId="0" applyNumberFormat="1" applyFont="1" applyBorder="1" applyAlignment="1">
      <alignment horizontal="center" vertical="center" wrapText="1"/>
    </xf>
    <xf numFmtId="0" fontId="8" fillId="0" borderId="1" xfId="166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/>
    <xf numFmtId="20" fontId="8" fillId="0" borderId="1" xfId="0" applyNumberFormat="1" applyFont="1" applyBorder="1" applyAlignment="1">
      <alignment vertical="center" wrapText="1"/>
    </xf>
    <xf numFmtId="0" fontId="8" fillId="0" borderId="29" xfId="166" applyFont="1" applyBorder="1" applyAlignment="1">
      <alignment horizontal="center" vertical="center"/>
    </xf>
    <xf numFmtId="177" fontId="8" fillId="0" borderId="1" xfId="166" quotePrefix="1" applyNumberFormat="1" applyFont="1" applyBorder="1" applyAlignment="1">
      <alignment horizontal="center" vertical="center"/>
    </xf>
    <xf numFmtId="49" fontId="8" fillId="3" borderId="1" xfId="167" applyNumberFormat="1" applyFont="1" applyFill="1" applyBorder="1" applyAlignment="1">
      <alignment horizontal="center" vertical="center"/>
    </xf>
    <xf numFmtId="0" fontId="8" fillId="3" borderId="1" xfId="168" applyFont="1" applyFill="1" applyBorder="1" applyAlignment="1">
      <alignment horizontal="center"/>
    </xf>
    <xf numFmtId="49" fontId="18" fillId="0" borderId="0" xfId="0" applyNumberFormat="1" applyFont="1" applyAlignment="1">
      <alignment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vertical="center"/>
    </xf>
    <xf numFmtId="49" fontId="8" fillId="3" borderId="1" xfId="0" applyNumberFormat="1" applyFont="1" applyFill="1" applyBorder="1" applyAlignment="1">
      <alignment vertical="center" wrapText="1"/>
    </xf>
    <xf numFmtId="49" fontId="12" fillId="0" borderId="27" xfId="0" applyNumberFormat="1" applyFont="1" applyBorder="1" applyAlignment="1">
      <alignment horizontal="center"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49" fontId="8" fillId="0" borderId="13" xfId="0" applyNumberFormat="1" applyFont="1" applyBorder="1" applyAlignment="1">
      <alignment horizontal="center" vertical="center" wrapText="1"/>
    </xf>
    <xf numFmtId="0" fontId="8" fillId="0" borderId="25" xfId="166" applyFont="1" applyBorder="1" applyAlignment="1">
      <alignment horizontal="center" vertical="center"/>
    </xf>
    <xf numFmtId="49" fontId="13" fillId="0" borderId="11" xfId="0" applyNumberFormat="1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49" fontId="8" fillId="0" borderId="11" xfId="0" applyNumberFormat="1" applyFont="1" applyBorder="1" applyAlignment="1">
      <alignment horizontal="center" vertical="center" wrapText="1"/>
    </xf>
    <xf numFmtId="49" fontId="8" fillId="0" borderId="19" xfId="0" applyNumberFormat="1" applyFont="1" applyBorder="1" applyAlignment="1">
      <alignment horizontal="center" vertical="center" wrapText="1"/>
    </xf>
    <xf numFmtId="0" fontId="8" fillId="0" borderId="19" xfId="166" applyFont="1" applyBorder="1" applyAlignment="1">
      <alignment horizontal="center" vertical="center"/>
    </xf>
    <xf numFmtId="0" fontId="8" fillId="0" borderId="25" xfId="166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" xfId="166" applyFont="1" applyBorder="1" applyAlignment="1">
      <alignment horizontal="center" vertical="center"/>
    </xf>
    <xf numFmtId="0" fontId="8" fillId="0" borderId="1" xfId="166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8" xfId="166" applyFont="1" applyBorder="1" applyAlignment="1">
      <alignment vertical="center"/>
    </xf>
    <xf numFmtId="0" fontId="8" fillId="0" borderId="38" xfId="0" applyFont="1" applyBorder="1" applyAlignment="1">
      <alignment vertical="center" wrapText="1"/>
    </xf>
    <xf numFmtId="0" fontId="8" fillId="0" borderId="38" xfId="166" applyFont="1" applyBorder="1" applyAlignment="1">
      <alignment vertical="center" wrapText="1"/>
    </xf>
    <xf numFmtId="49" fontId="13" fillId="0" borderId="11" xfId="0" applyNumberFormat="1" applyFont="1" applyBorder="1" applyAlignment="1">
      <alignment vertical="center" wrapText="1"/>
    </xf>
    <xf numFmtId="49" fontId="13" fillId="0" borderId="31" xfId="0" applyNumberFormat="1" applyFont="1" applyBorder="1" applyAlignment="1">
      <alignment vertical="center" wrapText="1"/>
    </xf>
    <xf numFmtId="49" fontId="8" fillId="0" borderId="0" xfId="0" applyNumberFormat="1" applyFont="1" applyAlignment="1">
      <alignment wrapText="1"/>
    </xf>
    <xf numFmtId="0" fontId="8" fillId="0" borderId="0" xfId="0" applyFont="1" applyAlignment="1">
      <alignment vertical="center" wrapText="1"/>
    </xf>
    <xf numFmtId="49" fontId="8" fillId="0" borderId="31" xfId="0" applyNumberFormat="1" applyFont="1" applyBorder="1" applyAlignment="1">
      <alignment horizontal="center" vertical="center" wrapText="1"/>
    </xf>
    <xf numFmtId="0" fontId="8" fillId="0" borderId="25" xfId="166" applyFont="1" applyBorder="1" applyAlignment="1">
      <alignment horizontal="center" vertical="center"/>
    </xf>
    <xf numFmtId="0" fontId="8" fillId="0" borderId="19" xfId="166" applyFont="1" applyBorder="1" applyAlignment="1">
      <alignment horizontal="center" vertical="center"/>
    </xf>
    <xf numFmtId="0" fontId="8" fillId="0" borderId="1" xfId="166" applyFont="1" applyBorder="1" applyAlignment="1">
      <alignment horizontal="center" vertical="center"/>
    </xf>
    <xf numFmtId="0" fontId="8" fillId="0" borderId="1" xfId="166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3" borderId="0" xfId="0" applyFill="1"/>
    <xf numFmtId="0" fontId="17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176" fontId="11" fillId="0" borderId="0" xfId="0" applyNumberFormat="1" applyFont="1" applyAlignment="1">
      <alignment horizontal="center"/>
    </xf>
    <xf numFmtId="176" fontId="8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49" fontId="8" fillId="0" borderId="11" xfId="0" applyNumberFormat="1" applyFont="1" applyBorder="1" applyAlignment="1">
      <alignment horizontal="center" vertical="center"/>
    </xf>
    <xf numFmtId="49" fontId="8" fillId="0" borderId="31" xfId="0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49" fontId="8" fillId="0" borderId="30" xfId="0" applyNumberFormat="1" applyFont="1" applyBorder="1" applyAlignment="1">
      <alignment horizontal="center" vertical="center"/>
    </xf>
    <xf numFmtId="49" fontId="8" fillId="2" borderId="32" xfId="0" applyNumberFormat="1" applyFont="1" applyFill="1" applyBorder="1" applyAlignment="1">
      <alignment horizontal="center" vertical="center" wrapText="1"/>
    </xf>
    <xf numFmtId="49" fontId="8" fillId="2" borderId="33" xfId="0" applyNumberFormat="1" applyFont="1" applyFill="1" applyBorder="1" applyAlignment="1">
      <alignment horizontal="center" vertical="center" wrapText="1"/>
    </xf>
    <xf numFmtId="49" fontId="8" fillId="2" borderId="6" xfId="0" applyNumberFormat="1" applyFont="1" applyFill="1" applyBorder="1" applyAlignment="1">
      <alignment horizontal="center" vertical="center" wrapText="1"/>
    </xf>
    <xf numFmtId="49" fontId="8" fillId="2" borderId="30" xfId="0" applyNumberFormat="1" applyFont="1" applyFill="1" applyBorder="1" applyAlignment="1">
      <alignment horizontal="center" vertical="center" wrapText="1"/>
    </xf>
    <xf numFmtId="49" fontId="8" fillId="2" borderId="34" xfId="0" applyNumberFormat="1" applyFont="1" applyFill="1" applyBorder="1" applyAlignment="1">
      <alignment horizontal="center" vertical="center" wrapText="1"/>
    </xf>
    <xf numFmtId="49" fontId="8" fillId="2" borderId="35" xfId="0" applyNumberFormat="1" applyFont="1" applyFill="1" applyBorder="1" applyAlignment="1">
      <alignment horizontal="center" vertical="center" wrapText="1"/>
    </xf>
    <xf numFmtId="49" fontId="8" fillId="2" borderId="16" xfId="0" applyNumberFormat="1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left" vertical="center" wrapText="1"/>
    </xf>
    <xf numFmtId="0" fontId="8" fillId="0" borderId="19" xfId="0" applyFont="1" applyBorder="1"/>
    <xf numFmtId="0" fontId="8" fillId="0" borderId="36" xfId="0" applyFont="1" applyBorder="1"/>
    <xf numFmtId="49" fontId="8" fillId="0" borderId="1" xfId="167" applyNumberFormat="1" applyFont="1" applyBorder="1" applyAlignment="1">
      <alignment horizontal="center" vertical="center"/>
    </xf>
    <xf numFmtId="49" fontId="13" fillId="0" borderId="11" xfId="0" applyNumberFormat="1" applyFont="1" applyBorder="1" applyAlignment="1">
      <alignment horizontal="center" vertical="center" wrapText="1"/>
    </xf>
    <xf numFmtId="49" fontId="13" fillId="0" borderId="31" xfId="0" applyNumberFormat="1" applyFont="1" applyBorder="1" applyAlignment="1">
      <alignment horizontal="center" vertical="center" wrapText="1"/>
    </xf>
    <xf numFmtId="0" fontId="8" fillId="4" borderId="37" xfId="0" applyFont="1" applyFill="1" applyBorder="1" applyAlignment="1">
      <alignment horizontal="left" vertical="center" wrapText="1"/>
    </xf>
    <xf numFmtId="0" fontId="8" fillId="4" borderId="35" xfId="0" applyFont="1" applyFill="1" applyBorder="1" applyAlignment="1">
      <alignment horizontal="left" vertical="center" wrapText="1"/>
    </xf>
    <xf numFmtId="0" fontId="8" fillId="4" borderId="16" xfId="0" applyFont="1" applyFill="1" applyBorder="1" applyAlignment="1">
      <alignment horizontal="left" vertical="center" wrapText="1"/>
    </xf>
    <xf numFmtId="0" fontId="8" fillId="0" borderId="7" xfId="166" applyFont="1" applyBorder="1" applyAlignment="1">
      <alignment horizontal="center" vertical="center"/>
    </xf>
    <xf numFmtId="0" fontId="8" fillId="0" borderId="38" xfId="166" applyFont="1" applyBorder="1" applyAlignment="1">
      <alignment horizontal="center" vertical="center"/>
    </xf>
    <xf numFmtId="0" fontId="8" fillId="0" borderId="25" xfId="166" applyFont="1" applyBorder="1" applyAlignment="1">
      <alignment horizontal="center" vertical="center"/>
    </xf>
    <xf numFmtId="0" fontId="8" fillId="0" borderId="7" xfId="166" applyFont="1" applyBorder="1" applyAlignment="1">
      <alignment horizontal="center" vertical="center" wrapText="1"/>
    </xf>
    <xf numFmtId="0" fontId="8" fillId="0" borderId="38" xfId="166" applyFont="1" applyBorder="1" applyAlignment="1">
      <alignment horizontal="center" vertical="center" wrapText="1"/>
    </xf>
    <xf numFmtId="0" fontId="8" fillId="0" borderId="25" xfId="166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wrapText="1"/>
    </xf>
    <xf numFmtId="0" fontId="8" fillId="2" borderId="35" xfId="0" applyFont="1" applyFill="1" applyBorder="1" applyAlignment="1">
      <alignment horizontal="center" wrapText="1"/>
    </xf>
    <xf numFmtId="0" fontId="8" fillId="0" borderId="16" xfId="0" applyFont="1" applyBorder="1" applyAlignment="1">
      <alignment wrapText="1"/>
    </xf>
    <xf numFmtId="0" fontId="8" fillId="2" borderId="19" xfId="0" applyFont="1" applyFill="1" applyBorder="1" applyAlignment="1">
      <alignment horizontal="left" wrapText="1"/>
    </xf>
    <xf numFmtId="0" fontId="8" fillId="0" borderId="36" xfId="0" applyFont="1" applyBorder="1" applyAlignment="1">
      <alignment wrapText="1"/>
    </xf>
    <xf numFmtId="0" fontId="8" fillId="0" borderId="3" xfId="0" applyFont="1" applyBorder="1" applyAlignment="1">
      <alignment horizontal="right" wrapText="1"/>
    </xf>
    <xf numFmtId="0" fontId="8" fillId="0" borderId="4" xfId="0" applyFont="1" applyBorder="1" applyAlignment="1">
      <alignment horizontal="right" wrapText="1"/>
    </xf>
    <xf numFmtId="0" fontId="8" fillId="0" borderId="39" xfId="0" applyFont="1" applyBorder="1" applyAlignment="1">
      <alignment horizontal="right" vertical="center" wrapText="1"/>
    </xf>
    <xf numFmtId="0" fontId="8" fillId="0" borderId="24" xfId="0" applyFont="1" applyBorder="1" applyAlignment="1">
      <alignment horizontal="right" vertical="center" wrapText="1"/>
    </xf>
    <xf numFmtId="49" fontId="8" fillId="2" borderId="20" xfId="0" applyNumberFormat="1" applyFont="1" applyFill="1" applyBorder="1" applyAlignment="1">
      <alignment horizontal="center" vertical="center" wrapText="1"/>
    </xf>
    <xf numFmtId="49" fontId="8" fillId="2" borderId="22" xfId="0" applyNumberFormat="1" applyFont="1" applyFill="1" applyBorder="1" applyAlignment="1">
      <alignment horizontal="center" vertical="center" wrapText="1"/>
    </xf>
    <xf numFmtId="49" fontId="8" fillId="2" borderId="23" xfId="0" applyNumberFormat="1" applyFont="1" applyFill="1" applyBorder="1" applyAlignment="1">
      <alignment horizontal="center" vertical="center" wrapText="1"/>
    </xf>
    <xf numFmtId="49" fontId="8" fillId="0" borderId="11" xfId="0" applyNumberFormat="1" applyFont="1" applyBorder="1" applyAlignment="1">
      <alignment horizontal="center" vertical="center" wrapText="1"/>
    </xf>
    <xf numFmtId="49" fontId="8" fillId="0" borderId="19" xfId="0" applyNumberFormat="1" applyFont="1" applyBorder="1" applyAlignment="1">
      <alignment horizontal="center" vertical="center" wrapText="1"/>
    </xf>
    <xf numFmtId="0" fontId="8" fillId="0" borderId="19" xfId="166" applyFont="1" applyBorder="1" applyAlignment="1">
      <alignment horizontal="center" vertical="center"/>
    </xf>
    <xf numFmtId="0" fontId="8" fillId="0" borderId="31" xfId="166" applyFont="1" applyBorder="1" applyAlignment="1">
      <alignment horizontal="center" vertical="center"/>
    </xf>
    <xf numFmtId="0" fontId="8" fillId="0" borderId="1" xfId="166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 wrapText="1"/>
    </xf>
    <xf numFmtId="0" fontId="8" fillId="0" borderId="1" xfId="166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</cellXfs>
  <cellStyles count="171">
    <cellStyle name="一般" xfId="0" builtinId="0"/>
    <cellStyle name="一般 10 10" xfId="1" xr:uid="{A24AAC67-BFF4-42D7-922B-ED38F5F268F5}"/>
    <cellStyle name="一般 10 11" xfId="2" xr:uid="{3B46B7F2-611B-4233-B4E5-DE76E1180624}"/>
    <cellStyle name="一般 10 12" xfId="3" xr:uid="{58179BED-0188-4B59-B6B7-C8F933ADEB9E}"/>
    <cellStyle name="一般 10 2" xfId="4" xr:uid="{F6DD174D-CE7A-49B3-9E22-9611780CFA77}"/>
    <cellStyle name="一般 10 3" xfId="5" xr:uid="{068342AC-D7FC-4802-9FD5-76E66C26C654}"/>
    <cellStyle name="一般 10 4" xfId="6" xr:uid="{DA580BBF-2FB6-4E53-BEF0-38EA4B478192}"/>
    <cellStyle name="一般 10 5" xfId="7" xr:uid="{933E3F9D-6F30-4D00-83D2-7BA6A5A6C858}"/>
    <cellStyle name="一般 10 6" xfId="8" xr:uid="{23130B04-2EAD-44BF-AE21-179E9A737593}"/>
    <cellStyle name="一般 10 7" xfId="9" xr:uid="{BAF76A03-223F-4C23-9FC5-CD83BF5AA995}"/>
    <cellStyle name="一般 10 8" xfId="10" xr:uid="{25D20703-FD10-4744-8958-D9194E78D762}"/>
    <cellStyle name="一般 10 9" xfId="11" xr:uid="{E00BD1BE-CC50-4005-9BBA-093228210852}"/>
    <cellStyle name="一般 11 10" xfId="12" xr:uid="{D55D089E-2FEC-40F1-B886-5A3E7C9DE07E}"/>
    <cellStyle name="一般 11 11" xfId="13" xr:uid="{7DE93DFF-9151-4C70-B97A-334D556FD08C}"/>
    <cellStyle name="一般 11 12" xfId="14" xr:uid="{63F57C05-5D25-46A0-82FC-0DFC00A5C5F6}"/>
    <cellStyle name="一般 11 2" xfId="15" xr:uid="{812FB98F-74CB-413B-9891-FA066240A5E8}"/>
    <cellStyle name="一般 11 3" xfId="16" xr:uid="{E966DFDB-D067-4999-8A04-0CFFB08C2698}"/>
    <cellStyle name="一般 11 4" xfId="17" xr:uid="{D4A78D3B-AC13-402F-A68C-02E0DCB6878F}"/>
    <cellStyle name="一般 11 5" xfId="18" xr:uid="{37849572-6B46-4F99-AA6C-88DF2114C71B}"/>
    <cellStyle name="一般 11 6" xfId="19" xr:uid="{BAA6FD7C-14F7-4689-9796-6E058AEBE403}"/>
    <cellStyle name="一般 11 7" xfId="20" xr:uid="{F5DA2D49-2475-45FD-9A43-6C2715513383}"/>
    <cellStyle name="一般 11 8" xfId="21" xr:uid="{01ACA449-28BF-4DF6-B31B-8404BE4370F6}"/>
    <cellStyle name="一般 11 9" xfId="22" xr:uid="{57763D01-3620-4AF2-8EF8-8923A1B4BAF9}"/>
    <cellStyle name="一般 12" xfId="23" xr:uid="{3DAE50A9-62D8-493F-BF1F-4AE79E87C202}"/>
    <cellStyle name="一般 12 2" xfId="24" xr:uid="{C82074D5-CB9F-4BF1-8B03-4DBA0A936399}"/>
    <cellStyle name="一般 12 3" xfId="25" xr:uid="{4E170DF0-890D-4AE0-8E51-F1C7E9B121CE}"/>
    <cellStyle name="一般 12 4" xfId="26" xr:uid="{F1584B95-65F9-4BD5-B6D0-3F50E65C4A6D}"/>
    <cellStyle name="一般 12 5" xfId="27" xr:uid="{9A201C9B-E90C-456B-AA4A-908393779399}"/>
    <cellStyle name="一般 12 6" xfId="28" xr:uid="{89110D38-A35B-4DFD-9EAA-6262A447AF40}"/>
    <cellStyle name="一般 12 7" xfId="29" xr:uid="{5A7CF73A-2734-4DEB-AED4-846B6E6430FF}"/>
    <cellStyle name="一般 12 8" xfId="30" xr:uid="{B357250C-01B6-44A9-8ADC-16C83B73D1EF}"/>
    <cellStyle name="一般 12 9" xfId="31" xr:uid="{0AD92588-695B-4A31-A9E9-494805297F8E}"/>
    <cellStyle name="一般 13" xfId="32" xr:uid="{51904C3C-5BDC-4F7A-9539-253B19A86187}"/>
    <cellStyle name="一般 13 2" xfId="33" xr:uid="{622127BF-2AA5-45E5-A831-8E62EC32C6D4}"/>
    <cellStyle name="一般 13 3" xfId="34" xr:uid="{268334A8-FF7C-4EBA-921E-C9645FB32909}"/>
    <cellStyle name="一般 13 4" xfId="35" xr:uid="{2712EBB7-FD29-49C2-950D-2C83D41F0ADE}"/>
    <cellStyle name="一般 13 5" xfId="36" xr:uid="{7A443A80-79C9-43EC-8735-2349DBB83F6E}"/>
    <cellStyle name="一般 13 6" xfId="37" xr:uid="{BFA2C5F8-1507-4771-9DEF-7EC802E72F40}"/>
    <cellStyle name="一般 13 7" xfId="38" xr:uid="{47B3B5F0-A0FB-4D8C-A06C-911C09D98358}"/>
    <cellStyle name="一般 13 8" xfId="39" xr:uid="{1DA5ECB5-D87A-4634-8078-CAEDA346645D}"/>
    <cellStyle name="一般 13 9" xfId="40" xr:uid="{BA36CCA2-AE1B-44C1-AA82-84926DFBE227}"/>
    <cellStyle name="一般 14" xfId="41" xr:uid="{D7DCF8E1-B133-4DA4-8E5D-9DCCB542AAA4}"/>
    <cellStyle name="一般 14 2" xfId="42" xr:uid="{3BC0750D-8EB5-43E2-A30E-C4CAC028AB4E}"/>
    <cellStyle name="一般 14 3" xfId="43" xr:uid="{DDABA9CA-3A78-4245-B933-2263CD929C47}"/>
    <cellStyle name="一般 14 4" xfId="44" xr:uid="{8F85F335-F75E-4FEE-94BF-45EB6CAAE35A}"/>
    <cellStyle name="一般 14 5" xfId="45" xr:uid="{97442A2F-5C66-4CB7-A97E-08A741E1EE18}"/>
    <cellStyle name="一般 14 6" xfId="46" xr:uid="{FEA8D8F2-2395-4ADA-852E-C33FA1FBB43B}"/>
    <cellStyle name="一般 14 7" xfId="47" xr:uid="{6C9F9ECA-C9CF-411D-9353-CCF9403BBD3E}"/>
    <cellStyle name="一般 14 8" xfId="48" xr:uid="{BDD5BB32-6526-4CF9-9D42-9FE161CA1D85}"/>
    <cellStyle name="一般 14 9" xfId="49" xr:uid="{8FDC78C8-AAE4-4743-BF86-E64190AC12F9}"/>
    <cellStyle name="一般 15" xfId="50" xr:uid="{36D92580-3727-4669-A0DD-9BDF2BF128BB}"/>
    <cellStyle name="一般 15 2" xfId="51" xr:uid="{B4DD9EB7-3718-49EF-8A5A-DFB678D2D029}"/>
    <cellStyle name="一般 15 3" xfId="52" xr:uid="{06E91E94-34C2-48A6-9051-BAF4E9748978}"/>
    <cellStyle name="一般 15 4" xfId="53" xr:uid="{E48ABA41-D956-4F11-8C31-DC0ACB87C581}"/>
    <cellStyle name="一般 15 5" xfId="54" xr:uid="{EE15C339-09FB-4EA7-A089-1EEFC75FB877}"/>
    <cellStyle name="一般 15 6" xfId="55" xr:uid="{81FCAD3E-756A-44C2-9B03-0E6146511EFD}"/>
    <cellStyle name="一般 15 7" xfId="56" xr:uid="{CDB220B9-E653-4459-AE11-F52870686FB8}"/>
    <cellStyle name="一般 15 8" xfId="57" xr:uid="{AA9AAE86-67CB-441D-AB74-F083B0338D23}"/>
    <cellStyle name="一般 15 9" xfId="58" xr:uid="{677BA5F2-322C-4EA9-A16F-9A6A6A577020}"/>
    <cellStyle name="一般 16" xfId="59" xr:uid="{11816978-D3AE-4EA7-B4F4-73647AE7A98E}"/>
    <cellStyle name="一般 16 2" xfId="60" xr:uid="{A7F56920-0F77-4D81-9F19-E356060AF81A}"/>
    <cellStyle name="一般 16 3" xfId="61" xr:uid="{D267B343-1159-4C5B-9C62-8BC12ACF645B}"/>
    <cellStyle name="一般 16 4" xfId="62" xr:uid="{FEC70DEC-0853-4676-B4D6-827CC8AB0011}"/>
    <cellStyle name="一般 16 5" xfId="63" xr:uid="{28D40B78-D30A-49B1-9633-095EE5C3F0CC}"/>
    <cellStyle name="一般 16 6" xfId="64" xr:uid="{EDEBB9D7-9C73-4538-A751-DAAB336BD1C1}"/>
    <cellStyle name="一般 16 7" xfId="65" xr:uid="{B29294F4-CBCC-4784-A8B2-57BA8EFFAD3B}"/>
    <cellStyle name="一般 16 8" xfId="66" xr:uid="{C0AD8596-A72D-45CB-8714-49D71408BE99}"/>
    <cellStyle name="一般 16 9" xfId="67" xr:uid="{B14C29AD-AC9B-4A3E-BB9B-221E66C7B850}"/>
    <cellStyle name="一般 17" xfId="68" xr:uid="{3D1512C3-455C-4A6E-914F-A8095D053D04}"/>
    <cellStyle name="一般 17 2" xfId="69" xr:uid="{7B1F9041-7059-4C53-BB0B-D18B85785B8D}"/>
    <cellStyle name="一般 18" xfId="70" xr:uid="{EA189383-8363-4F10-8F2E-2F18B034B114}"/>
    <cellStyle name="一般 18 2" xfId="71" xr:uid="{2EFF9CEC-41E6-4194-9740-7C865D254359}"/>
    <cellStyle name="一般 19" xfId="72" xr:uid="{3039BE2C-7C60-43E6-A569-4C9D92404568}"/>
    <cellStyle name="一般 19 2" xfId="73" xr:uid="{4E6F88CB-6F60-4CFA-90D7-37A35A41EF30}"/>
    <cellStyle name="一般 2" xfId="74" xr:uid="{57F19A1B-6D2E-47DA-AA61-5DDD8089ED52}"/>
    <cellStyle name="一般 2 10" xfId="75" xr:uid="{28AAF5DE-7841-41B3-8735-8CEB785E71BB}"/>
    <cellStyle name="一般 2 11" xfId="76" xr:uid="{BDE7F168-8914-43E1-88C5-07A0145287E2}"/>
    <cellStyle name="一般 2 12" xfId="77" xr:uid="{000666DE-A4EC-4351-B8A2-CB966F3A5D6B}"/>
    <cellStyle name="一般 2 2" xfId="78" xr:uid="{F1C7D19A-3E4E-4E05-B1A8-F0FAA18189BD}"/>
    <cellStyle name="一般 2 3" xfId="79" xr:uid="{8E5194BA-87F1-43FB-BC50-6AE0CC42A875}"/>
    <cellStyle name="一般 2 4" xfId="80" xr:uid="{CC88E2B2-647D-4FB2-8F52-0B1148A0EB18}"/>
    <cellStyle name="一般 2 5" xfId="81" xr:uid="{1240F1D0-2B06-4270-BA9A-8DE20F1EA443}"/>
    <cellStyle name="一般 2 6" xfId="82" xr:uid="{93AC93F3-DCA9-42EF-8FD8-0CA8C791D3D1}"/>
    <cellStyle name="一般 2 7" xfId="83" xr:uid="{BAC9AAF0-1994-4C0C-BBDC-307FC0379095}"/>
    <cellStyle name="一般 2 8" xfId="84" xr:uid="{77F41E93-C82B-42AB-B615-6D90744A3811}"/>
    <cellStyle name="一般 2 9" xfId="85" xr:uid="{D59305E9-E394-48A7-811E-452F41652FBF}"/>
    <cellStyle name="一般 3" xfId="86" xr:uid="{E4580ED2-CC9F-40D3-B820-86CFC061D5DF}"/>
    <cellStyle name="一般 3 10" xfId="87" xr:uid="{E1325345-CCAB-4A62-B0B5-4B1C5B113888}"/>
    <cellStyle name="一般 3 2" xfId="88" xr:uid="{F1C81F2A-12CF-4082-B839-AA7D6333D4DC}"/>
    <cellStyle name="一般 3 3" xfId="89" xr:uid="{44F4A2D0-F04C-4CEF-B284-A36A6F6B5E5A}"/>
    <cellStyle name="一般 3 4" xfId="90" xr:uid="{03FEFACD-A69F-410B-9F99-F838C3C56DE6}"/>
    <cellStyle name="一般 3 5" xfId="91" xr:uid="{6C2CE4AE-04B3-4253-A426-0F5E9193C450}"/>
    <cellStyle name="一般 3 6" xfId="92" xr:uid="{DA8F9BF8-2C01-434E-BC61-8CCD1B8D3B90}"/>
    <cellStyle name="一般 3 7" xfId="93" xr:uid="{FF29977D-E064-42B6-B12A-36E4923AB8AA}"/>
    <cellStyle name="一般 3 8" xfId="94" xr:uid="{E784340E-4826-447F-AB09-CFDDCA38670F}"/>
    <cellStyle name="一般 3 9" xfId="95" xr:uid="{07762DD2-CC56-4399-B95B-7BD8ABFB296F}"/>
    <cellStyle name="一般 4" xfId="96" xr:uid="{12251B20-93D3-46D0-85B6-38A4638CAA77}"/>
    <cellStyle name="一般 4 10" xfId="97" xr:uid="{19E8E41F-5E2A-4B2A-8711-A731490F9B90}"/>
    <cellStyle name="一般 4 11" xfId="98" xr:uid="{1CC785F7-C868-4545-9DD9-8936AC3F69F5}"/>
    <cellStyle name="一般 4 12" xfId="99" xr:uid="{2C4AE5F9-B055-4689-8E4D-5DA554BA23E1}"/>
    <cellStyle name="一般 4 2" xfId="100" xr:uid="{7CD17DD6-FE66-41F4-B7BF-9C1488798F5F}"/>
    <cellStyle name="一般 4 3" xfId="101" xr:uid="{D2995C27-FE4B-46BE-B94B-0CFE1916C769}"/>
    <cellStyle name="一般 4 4" xfId="102" xr:uid="{CC6DE0FA-07A5-4790-BD66-F1C4E9B14FDE}"/>
    <cellStyle name="一般 4 5" xfId="103" xr:uid="{2F6BA48E-C95A-4F27-9B7A-36D47D731F1A}"/>
    <cellStyle name="一般 4 6" xfId="104" xr:uid="{99D67430-2994-4E1B-885D-D1C290FC4FBB}"/>
    <cellStyle name="一般 4 7" xfId="105" xr:uid="{147E4E47-1683-48E8-A273-A78F1E73C5AC}"/>
    <cellStyle name="一般 4 8" xfId="106" xr:uid="{D017E583-0630-45A5-8813-1E5AA478D376}"/>
    <cellStyle name="一般 4 9" xfId="107" xr:uid="{E928BE56-4C6F-49A7-AFEB-D64664161058}"/>
    <cellStyle name="一般 5 2" xfId="108" xr:uid="{92109AD8-6D2A-44F4-B590-4929C04A0DAC}"/>
    <cellStyle name="一般 5 3" xfId="109" xr:uid="{A4424C4E-A5AB-4286-BA05-7242EB9CCC13}"/>
    <cellStyle name="一般 5 4" xfId="110" xr:uid="{07F64901-B7C4-42E7-AAD6-351F995BFAB4}"/>
    <cellStyle name="一般 5 5" xfId="111" xr:uid="{7EB4A419-98A4-47B2-A7A7-2CCA5206B8AA}"/>
    <cellStyle name="一般 5 6" xfId="112" xr:uid="{111900B4-B1BE-41C7-8C80-C20998E5F60E}"/>
    <cellStyle name="一般 5 7" xfId="113" xr:uid="{A44568B3-F340-49D4-A511-046D964A4C19}"/>
    <cellStyle name="一般 5 8" xfId="114" xr:uid="{71282098-5D4D-44B1-BF57-2F95E23F01AF}"/>
    <cellStyle name="一般 6" xfId="115" xr:uid="{ED0FF44E-6B6C-43A4-8A6A-6C8B197BC9A0}"/>
    <cellStyle name="一般 6 10" xfId="116" xr:uid="{4B5B0A03-4CBB-4A30-BD17-0CD817C9C835}"/>
    <cellStyle name="一般 6 10 2" xfId="117" xr:uid="{58A675E0-A7DC-499A-AFE7-B64E43F3A4EF}"/>
    <cellStyle name="一般 6 11" xfId="118" xr:uid="{8F34A0A1-AC20-4F91-8217-622C6ED2C00A}"/>
    <cellStyle name="一般 6 12" xfId="119" xr:uid="{B8B10AE9-052F-492A-A56C-FA639E22A2FA}"/>
    <cellStyle name="一般 6 13" xfId="120" xr:uid="{85BAD21D-5577-46B3-8A67-65B59E27CC5C}"/>
    <cellStyle name="一般 6 14" xfId="121" xr:uid="{AFC08C08-4065-4577-944A-312DEE36A1C8}"/>
    <cellStyle name="一般 6 2" xfId="122" xr:uid="{BF1FC56B-83CB-47FA-A58C-5EDE9CF2AA80}"/>
    <cellStyle name="一般 6 3" xfId="123" xr:uid="{0945E247-31F3-4775-A81C-941240D85148}"/>
    <cellStyle name="一般 6 4" xfId="124" xr:uid="{CC8524B4-7981-472D-96A6-C53E9E5F785B}"/>
    <cellStyle name="一般 6 5" xfId="125" xr:uid="{D1AF7605-6B10-49E8-B522-0DBD8BA81462}"/>
    <cellStyle name="一般 6 6" xfId="126" xr:uid="{8D379A2F-803A-4C3F-BBD4-3E943F8C436D}"/>
    <cellStyle name="一般 6 7" xfId="127" xr:uid="{BE3BD2AB-8021-4D32-B3FE-BC906284648F}"/>
    <cellStyle name="一般 6 8" xfId="128" xr:uid="{6FCCBB8F-4E4D-41AB-A8DF-23CD9AAB8930}"/>
    <cellStyle name="一般 6 9" xfId="129" xr:uid="{3C317DEC-3BA0-418A-B7B2-50DB07D633D2}"/>
    <cellStyle name="一般 7" xfId="130" xr:uid="{6DA7B9C9-FE64-4BC9-ACAA-6564C010F56A}"/>
    <cellStyle name="一般 7 10" xfId="131" xr:uid="{ADA70D36-3FC0-4FD7-9E41-DFA408CAB486}"/>
    <cellStyle name="一般 7 11" xfId="132" xr:uid="{DCE811F7-DF1C-4E11-AD1A-5D533E23EFB9}"/>
    <cellStyle name="一般 7 12" xfId="133" xr:uid="{7F747F19-C7E6-4BE5-89EF-B78ABB0B7791}"/>
    <cellStyle name="一般 7 2" xfId="134" xr:uid="{257B2CA3-A5C1-48E0-90C4-BDB93826F4B3}"/>
    <cellStyle name="一般 7 3" xfId="135" xr:uid="{8BBDCCA2-071F-404F-A983-67DA7079BBFA}"/>
    <cellStyle name="一般 7 4" xfId="136" xr:uid="{2F4999B8-CF1D-49E7-9E1C-411A262E70E6}"/>
    <cellStyle name="一般 7 5" xfId="137" xr:uid="{9C936F2A-C213-4ECB-A645-A6C6F9176DE8}"/>
    <cellStyle name="一般 7 6" xfId="138" xr:uid="{AC15C937-D5A3-4988-A150-6AE8EA338AC3}"/>
    <cellStyle name="一般 7 7" xfId="139" xr:uid="{74C179DE-1894-4C0E-9EA7-C199C725679C}"/>
    <cellStyle name="一般 7 8" xfId="140" xr:uid="{435F9B05-F507-4BEC-9DD7-2F4951515C4F}"/>
    <cellStyle name="一般 7 9" xfId="141" xr:uid="{1E2031F5-1471-42DF-BB16-6A7169D86C56}"/>
    <cellStyle name="一般 8" xfId="142" xr:uid="{2DE0ACA7-9172-4C61-A5B9-D52E4735C43B}"/>
    <cellStyle name="一般 8 10" xfId="143" xr:uid="{C57571A0-706F-4841-A567-1B63941AEA62}"/>
    <cellStyle name="一般 8 11" xfId="144" xr:uid="{8CC469BD-8EE7-4FAF-8848-DFDCF3BFEC26}"/>
    <cellStyle name="一般 8 12" xfId="145" xr:uid="{006D3723-20DB-4BAF-946B-E9B60B73F89C}"/>
    <cellStyle name="一般 8 2" xfId="146" xr:uid="{B6D557B9-50E1-4F45-B3FD-E2BA02B5E264}"/>
    <cellStyle name="一般 8 3" xfId="147" xr:uid="{ABAD8ED9-5F1F-439D-AD3B-92DF00FC056B}"/>
    <cellStyle name="一般 8 4" xfId="148" xr:uid="{61FD05B7-3DBF-4A42-9575-C58900E2BB4C}"/>
    <cellStyle name="一般 8 5" xfId="149" xr:uid="{281744C4-51B6-4C30-BCB1-B1615E371A37}"/>
    <cellStyle name="一般 8 6" xfId="150" xr:uid="{2DB8E584-C4C5-4EFD-8644-4751E465C842}"/>
    <cellStyle name="一般 8 7" xfId="151" xr:uid="{39BA69B0-4DD0-4259-BFCF-5657475DF8B8}"/>
    <cellStyle name="一般 8 8" xfId="152" xr:uid="{242D0EF1-1BC7-4DD7-BC23-51197D2050C5}"/>
    <cellStyle name="一般 8 9" xfId="153" xr:uid="{ADFAA8EA-EA84-41D1-BFFE-02D992DE222E}"/>
    <cellStyle name="一般 9" xfId="154" xr:uid="{DC2AAE1C-734B-4C9F-852D-6E9313BB0B65}"/>
    <cellStyle name="一般 9 10" xfId="155" xr:uid="{06FEE463-33B1-4934-B537-0864DBD0051E}"/>
    <cellStyle name="一般 9 11" xfId="156" xr:uid="{D03B33A3-F8BC-408D-A23E-C6931F0B5950}"/>
    <cellStyle name="一般 9 12" xfId="157" xr:uid="{19D28CF0-AD1E-4FF7-A667-B17914AD04BA}"/>
    <cellStyle name="一般 9 2" xfId="158" xr:uid="{76E968E6-E42B-4D6F-8312-641D6C50D88C}"/>
    <cellStyle name="一般 9 3" xfId="159" xr:uid="{D81EF3D1-EC36-4137-A132-D1AB47604D8D}"/>
    <cellStyle name="一般 9 4" xfId="160" xr:uid="{F9723635-51D8-4B64-BE11-EE874179121D}"/>
    <cellStyle name="一般 9 5" xfId="161" xr:uid="{BC06F2D5-75B0-4024-B52D-AF15F845D759}"/>
    <cellStyle name="一般 9 6" xfId="162" xr:uid="{9052350F-4F82-4533-AF37-114CBF638AE2}"/>
    <cellStyle name="一般 9 7" xfId="163" xr:uid="{4F8214C8-865C-4784-BAB1-C0C06CA6BA77}"/>
    <cellStyle name="一般 9 8" xfId="164" xr:uid="{F8D5BF57-8D02-4F1B-AC51-60391D2EBEF4}"/>
    <cellStyle name="一般 9 9" xfId="165" xr:uid="{1182BB64-AE0A-442C-B2B1-1A314EFC3FE6}"/>
    <cellStyle name="一般_Map1022_PI_Ldr_0415" xfId="166" xr:uid="{9835F463-118C-4C66-AED0-40299CED93C4}"/>
    <cellStyle name="一般_Sheet1" xfId="167" xr:uid="{6E4CA9D9-B694-46D6-960F-8DEA3C193C14}"/>
    <cellStyle name="一般_TagName" xfId="168" xr:uid="{112D1A09-D183-4B91-BEAB-7C6A30BBC5EE}"/>
    <cellStyle name="標準_EDC" xfId="169" xr:uid="{5544F904-7256-4EFC-A5D2-54933155F2A2}"/>
    <cellStyle name="樣式 1" xfId="170" xr:uid="{C30356F4-1EE1-479C-A18D-8B552F566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grpSp>
      <xdr:nvGrpSpPr>
        <xdr:cNvPr id="7952" name="Group 1">
          <a:extLst>
            <a:ext uri="{FF2B5EF4-FFF2-40B4-BE49-F238E27FC236}">
              <a16:creationId xmlns:a16="http://schemas.microsoft.com/office/drawing/2014/main" id="{9B99244A-D8FD-1A9A-2E4C-A5C771BAA7E5}"/>
            </a:ext>
          </a:extLst>
        </xdr:cNvPr>
        <xdr:cNvGrpSpPr>
          <a:grpSpLocks/>
        </xdr:cNvGrpSpPr>
      </xdr:nvGrpSpPr>
      <xdr:grpSpPr bwMode="auto">
        <a:xfrm>
          <a:off x="0" y="2343150"/>
          <a:ext cx="0" cy="0"/>
          <a:chOff x="61" y="534"/>
          <a:chExt cx="556" cy="24"/>
        </a:xfrm>
      </xdr:grpSpPr>
      <xdr:sp macro="" textlink="">
        <xdr:nvSpPr>
          <xdr:cNvPr id="7170" name="Rectangle 2">
            <a:extLst>
              <a:ext uri="{FF2B5EF4-FFF2-40B4-BE49-F238E27FC236}">
                <a16:creationId xmlns:a16="http://schemas.microsoft.com/office/drawing/2014/main" id="{59CEF06D-04A3-67E6-5E80-15AA03BC8D67}"/>
              </a:ext>
            </a:extLst>
          </xdr:cNvPr>
          <xdr:cNvSpPr>
            <a:spLocks noChangeArrowheads="1"/>
          </xdr:cNvSpPr>
        </xdr:nvSpPr>
        <xdr:spPr bwMode="auto">
          <a:xfrm>
            <a:off x="0" y="236855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+255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grpSp>
        <xdr:nvGrpSpPr>
          <xdr:cNvPr id="7968" name="Group 3">
            <a:extLst>
              <a:ext uri="{FF2B5EF4-FFF2-40B4-BE49-F238E27FC236}">
                <a16:creationId xmlns:a16="http://schemas.microsoft.com/office/drawing/2014/main" id="{723C2702-24A7-A100-9407-627F8AD9B8A8}"/>
              </a:ext>
            </a:extLst>
          </xdr:cNvPr>
          <xdr:cNvGrpSpPr>
            <a:grpSpLocks/>
          </xdr:cNvGrpSpPr>
        </xdr:nvGrpSpPr>
        <xdr:grpSpPr bwMode="auto">
          <a:xfrm>
            <a:off x="261" y="534"/>
            <a:ext cx="156" cy="24"/>
            <a:chOff x="302" y="471"/>
            <a:chExt cx="156" cy="21"/>
          </a:xfrm>
        </xdr:grpSpPr>
        <xdr:sp macro="" textlink="">
          <xdr:nvSpPr>
            <xdr:cNvPr id="7172" name="Rectangle 4">
              <a:extLst>
                <a:ext uri="{FF2B5EF4-FFF2-40B4-BE49-F238E27FC236}">
                  <a16:creationId xmlns:a16="http://schemas.microsoft.com/office/drawing/2014/main" id="{6C78FBC0-7604-2739-423E-3C34C44405F5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0" y="2368550"/>
              <a:ext cx="0" cy="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27432" tIns="27432" rIns="27432" bIns="0" anchor="t" upright="1"/>
            <a:lstStyle/>
            <a:p>
              <a:pPr algn="ctr" rtl="0">
                <a:defRPr sz="1000"/>
              </a:pPr>
              <a:r>
                <a:rPr lang="en-US" altLang="zh-TW" sz="1200" b="1" i="0" strike="noStrike">
                  <a:solidFill>
                    <a:srgbClr val="000000"/>
                  </a:solidFill>
                  <a:latin typeface="Times New Roman"/>
                  <a:cs typeface="Times New Roman"/>
                </a:rPr>
                <a:t>…...</a:t>
              </a:r>
            </a:p>
          </xdr:txBody>
        </xdr:sp>
        <xdr:sp macro="" textlink="">
          <xdr:nvSpPr>
            <xdr:cNvPr id="7173" name="Rectangle 5">
              <a:extLst>
                <a:ext uri="{FF2B5EF4-FFF2-40B4-BE49-F238E27FC236}">
                  <a16:creationId xmlns:a16="http://schemas.microsoft.com/office/drawing/2014/main" id="{35B1C569-0589-9EFD-85B9-642482168D3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0" y="2368550"/>
              <a:ext cx="0" cy="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27432" tIns="27432" rIns="27432" bIns="0" anchor="t" upright="1"/>
            <a:lstStyle/>
            <a:p>
              <a:pPr algn="ctr" rtl="0">
                <a:defRPr sz="1000"/>
              </a:pPr>
              <a:r>
                <a:rPr lang="en-US" altLang="zh-TW" sz="1200" b="1" i="0" strike="noStrike">
                  <a:solidFill>
                    <a:srgbClr val="000000"/>
                  </a:solidFill>
                  <a:latin typeface="Times New Roman"/>
                  <a:cs typeface="Times New Roman"/>
                </a:rPr>
                <a:t>…...</a:t>
              </a:r>
            </a:p>
          </xdr:txBody>
        </xdr:sp>
      </xdr:grpSp>
      <xdr:sp macro="" textlink="">
        <xdr:nvSpPr>
          <xdr:cNvPr id="7174" name="Rectangle 6">
            <a:extLst>
              <a:ext uri="{FF2B5EF4-FFF2-40B4-BE49-F238E27FC236}">
                <a16:creationId xmlns:a16="http://schemas.microsoft.com/office/drawing/2014/main" id="{26961FFB-8694-7432-8091-8D51FD40C8DD}"/>
              </a:ext>
            </a:extLst>
          </xdr:cNvPr>
          <xdr:cNvSpPr>
            <a:spLocks noChangeArrowheads="1"/>
          </xdr:cNvSpPr>
        </xdr:nvSpPr>
        <xdr:spPr bwMode="auto">
          <a:xfrm>
            <a:off x="0" y="236855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+254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75" name="Rectangle 7">
            <a:extLst>
              <a:ext uri="{FF2B5EF4-FFF2-40B4-BE49-F238E27FC236}">
                <a16:creationId xmlns:a16="http://schemas.microsoft.com/office/drawing/2014/main" id="{C1BC7B1B-C288-60FA-2855-F87A9D962125}"/>
              </a:ext>
            </a:extLst>
          </xdr:cNvPr>
          <xdr:cNvSpPr>
            <a:spLocks noChangeArrowheads="1"/>
          </xdr:cNvSpPr>
        </xdr:nvSpPr>
        <xdr:spPr bwMode="auto">
          <a:xfrm>
            <a:off x="0" y="236855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+253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76" name="Rectangle 8">
            <a:extLst>
              <a:ext uri="{FF2B5EF4-FFF2-40B4-BE49-F238E27FC236}">
                <a16:creationId xmlns:a16="http://schemas.microsoft.com/office/drawing/2014/main" id="{B3E6DCF2-4404-D83F-9CC3-63E71EC9C551}"/>
              </a:ext>
            </a:extLst>
          </xdr:cNvPr>
          <xdr:cNvSpPr>
            <a:spLocks noChangeArrowheads="1"/>
          </xdr:cNvSpPr>
        </xdr:nvSpPr>
        <xdr:spPr bwMode="auto">
          <a:xfrm>
            <a:off x="0" y="236855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+252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77" name="Rectangle 9">
            <a:extLst>
              <a:ext uri="{FF2B5EF4-FFF2-40B4-BE49-F238E27FC236}">
                <a16:creationId xmlns:a16="http://schemas.microsoft.com/office/drawing/2014/main" id="{11F54E96-2B7A-2DDC-8C0F-2061135D5EB6}"/>
              </a:ext>
            </a:extLst>
          </xdr:cNvPr>
          <xdr:cNvSpPr>
            <a:spLocks noChangeArrowheads="1"/>
          </xdr:cNvSpPr>
        </xdr:nvSpPr>
        <xdr:spPr bwMode="auto">
          <a:xfrm>
            <a:off x="0" y="236855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+243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78" name="Rectangle 10">
            <a:extLst>
              <a:ext uri="{FF2B5EF4-FFF2-40B4-BE49-F238E27FC236}">
                <a16:creationId xmlns:a16="http://schemas.microsoft.com/office/drawing/2014/main" id="{0DB2A68A-4CCA-4629-A2AA-59A77E9465D3}"/>
              </a:ext>
            </a:extLst>
          </xdr:cNvPr>
          <xdr:cNvSpPr>
            <a:spLocks noChangeArrowheads="1"/>
          </xdr:cNvSpPr>
        </xdr:nvSpPr>
        <xdr:spPr bwMode="auto">
          <a:xfrm>
            <a:off x="0" y="236855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+242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79" name="Rectangle 11">
            <a:extLst>
              <a:ext uri="{FF2B5EF4-FFF2-40B4-BE49-F238E27FC236}">
                <a16:creationId xmlns:a16="http://schemas.microsoft.com/office/drawing/2014/main" id="{421C9CEC-7021-F089-520B-FE742BBF0AF3}"/>
              </a:ext>
            </a:extLst>
          </xdr:cNvPr>
          <xdr:cNvSpPr>
            <a:spLocks noChangeArrowheads="1"/>
          </xdr:cNvSpPr>
        </xdr:nvSpPr>
        <xdr:spPr bwMode="auto">
          <a:xfrm>
            <a:off x="0" y="236855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+241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80" name="Rectangle 12">
            <a:extLst>
              <a:ext uri="{FF2B5EF4-FFF2-40B4-BE49-F238E27FC236}">
                <a16:creationId xmlns:a16="http://schemas.microsoft.com/office/drawing/2014/main" id="{C0E4A9FA-BAE9-E261-539B-1C8403E428DD}"/>
              </a:ext>
            </a:extLst>
          </xdr:cNvPr>
          <xdr:cNvSpPr>
            <a:spLocks noChangeArrowheads="1"/>
          </xdr:cNvSpPr>
        </xdr:nvSpPr>
        <xdr:spPr bwMode="auto">
          <a:xfrm>
            <a:off x="0" y="236855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+240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0</xdr:col>
      <xdr:colOff>0</xdr:colOff>
      <xdr:row>11</xdr:row>
      <xdr:rowOff>0</xdr:rowOff>
    </xdr:from>
    <xdr:to>
      <xdr:col>0</xdr:col>
      <xdr:colOff>0</xdr:colOff>
      <xdr:row>12</xdr:row>
      <xdr:rowOff>0</xdr:rowOff>
    </xdr:to>
    <xdr:grpSp>
      <xdr:nvGrpSpPr>
        <xdr:cNvPr id="7953" name="Group 13">
          <a:extLst>
            <a:ext uri="{FF2B5EF4-FFF2-40B4-BE49-F238E27FC236}">
              <a16:creationId xmlns:a16="http://schemas.microsoft.com/office/drawing/2014/main" id="{9885DFC1-0CA0-CF4E-F7F8-602FF1A1EFDC}"/>
            </a:ext>
          </a:extLst>
        </xdr:cNvPr>
        <xdr:cNvGrpSpPr>
          <a:grpSpLocks/>
        </xdr:cNvGrpSpPr>
      </xdr:nvGrpSpPr>
      <xdr:grpSpPr bwMode="auto">
        <a:xfrm>
          <a:off x="0" y="2133600"/>
          <a:ext cx="0" cy="209550"/>
          <a:chOff x="61" y="493"/>
          <a:chExt cx="556" cy="24"/>
        </a:xfrm>
      </xdr:grpSpPr>
      <xdr:sp macro="" textlink="">
        <xdr:nvSpPr>
          <xdr:cNvPr id="7182" name="Rectangle 14">
            <a:extLst>
              <a:ext uri="{FF2B5EF4-FFF2-40B4-BE49-F238E27FC236}">
                <a16:creationId xmlns:a16="http://schemas.microsoft.com/office/drawing/2014/main" id="{E2106BAA-1406-E7A5-4EC9-6D7E51164AA8}"/>
              </a:ext>
            </a:extLst>
          </xdr:cNvPr>
          <xdr:cNvSpPr>
            <a:spLocks noChangeArrowheads="1"/>
          </xdr:cNvSpPr>
        </xdr:nvSpPr>
        <xdr:spPr bwMode="auto">
          <a:xfrm>
            <a:off x="0" y="5146602610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+15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grpSp>
        <xdr:nvGrpSpPr>
          <xdr:cNvPr id="7957" name="Group 15">
            <a:extLst>
              <a:ext uri="{FF2B5EF4-FFF2-40B4-BE49-F238E27FC236}">
                <a16:creationId xmlns:a16="http://schemas.microsoft.com/office/drawing/2014/main" id="{879746B3-684A-B14F-5E06-1A884A81898C}"/>
              </a:ext>
            </a:extLst>
          </xdr:cNvPr>
          <xdr:cNvGrpSpPr>
            <a:grpSpLocks/>
          </xdr:cNvGrpSpPr>
        </xdr:nvGrpSpPr>
        <xdr:grpSpPr bwMode="auto">
          <a:xfrm>
            <a:off x="261" y="493"/>
            <a:ext cx="156" cy="24"/>
            <a:chOff x="302" y="471"/>
            <a:chExt cx="156" cy="21"/>
          </a:xfrm>
        </xdr:grpSpPr>
        <xdr:sp macro="" textlink="">
          <xdr:nvSpPr>
            <xdr:cNvPr id="7184" name="Rectangle 16">
              <a:extLst>
                <a:ext uri="{FF2B5EF4-FFF2-40B4-BE49-F238E27FC236}">
                  <a16:creationId xmlns:a16="http://schemas.microsoft.com/office/drawing/2014/main" id="{A237AC2C-FC60-8AFA-184A-38047B6C818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0" y="11550205957190"/>
              <a:ext cx="0" cy="21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27432" tIns="27432" rIns="27432" bIns="0" anchor="t" upright="1"/>
            <a:lstStyle/>
            <a:p>
              <a:pPr algn="ctr" rtl="0">
                <a:defRPr sz="1000"/>
              </a:pPr>
              <a:r>
                <a:rPr lang="en-US" altLang="zh-TW" sz="1200" b="1" i="0" strike="noStrike">
                  <a:solidFill>
                    <a:srgbClr val="000000"/>
                  </a:solidFill>
                  <a:latin typeface="Times New Roman"/>
                  <a:cs typeface="Times New Roman"/>
                </a:rPr>
                <a:t>…...</a:t>
              </a:r>
            </a:p>
          </xdr:txBody>
        </xdr:sp>
        <xdr:sp macro="" textlink="">
          <xdr:nvSpPr>
            <xdr:cNvPr id="7185" name="Rectangle 17">
              <a:extLst>
                <a:ext uri="{FF2B5EF4-FFF2-40B4-BE49-F238E27FC236}">
                  <a16:creationId xmlns:a16="http://schemas.microsoft.com/office/drawing/2014/main" id="{5A3C3587-FFA6-F0CA-4C5E-CC5733B1329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0" y="11550205957190"/>
              <a:ext cx="0" cy="21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27432" tIns="27432" rIns="27432" bIns="0" anchor="t" upright="1"/>
            <a:lstStyle/>
            <a:p>
              <a:pPr algn="ctr" rtl="0">
                <a:defRPr sz="1000"/>
              </a:pPr>
              <a:r>
                <a:rPr lang="en-US" altLang="zh-TW" sz="1200" b="1" i="0" strike="noStrike">
                  <a:solidFill>
                    <a:srgbClr val="000000"/>
                  </a:solidFill>
                  <a:latin typeface="Times New Roman"/>
                  <a:cs typeface="Times New Roman"/>
                </a:rPr>
                <a:t>…...</a:t>
              </a:r>
            </a:p>
          </xdr:txBody>
        </xdr:sp>
      </xdr:grpSp>
      <xdr:sp macro="" textlink="">
        <xdr:nvSpPr>
          <xdr:cNvPr id="7186" name="Rectangle 18">
            <a:extLst>
              <a:ext uri="{FF2B5EF4-FFF2-40B4-BE49-F238E27FC236}">
                <a16:creationId xmlns:a16="http://schemas.microsoft.com/office/drawing/2014/main" id="{E56AB899-DAD1-B525-FDF0-9E778198DD22}"/>
              </a:ext>
            </a:extLst>
          </xdr:cNvPr>
          <xdr:cNvSpPr>
            <a:spLocks noChangeArrowheads="1"/>
          </xdr:cNvSpPr>
        </xdr:nvSpPr>
        <xdr:spPr bwMode="auto">
          <a:xfrm>
            <a:off x="0" y="5146602610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+14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87" name="Rectangle 19">
            <a:extLst>
              <a:ext uri="{FF2B5EF4-FFF2-40B4-BE49-F238E27FC236}">
                <a16:creationId xmlns:a16="http://schemas.microsoft.com/office/drawing/2014/main" id="{F2B0B714-C169-936A-74ED-924FED913F53}"/>
              </a:ext>
            </a:extLst>
          </xdr:cNvPr>
          <xdr:cNvSpPr>
            <a:spLocks noChangeArrowheads="1"/>
          </xdr:cNvSpPr>
        </xdr:nvSpPr>
        <xdr:spPr bwMode="auto">
          <a:xfrm>
            <a:off x="0" y="5146602610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+13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88" name="Rectangle 20">
            <a:extLst>
              <a:ext uri="{FF2B5EF4-FFF2-40B4-BE49-F238E27FC236}">
                <a16:creationId xmlns:a16="http://schemas.microsoft.com/office/drawing/2014/main" id="{CCEEB892-E634-630E-094A-7B54C2C5BAA9}"/>
              </a:ext>
            </a:extLst>
          </xdr:cNvPr>
          <xdr:cNvSpPr>
            <a:spLocks noChangeArrowheads="1"/>
          </xdr:cNvSpPr>
        </xdr:nvSpPr>
        <xdr:spPr bwMode="auto">
          <a:xfrm>
            <a:off x="0" y="5146602610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+12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89" name="Rectangle 21">
            <a:extLst>
              <a:ext uri="{FF2B5EF4-FFF2-40B4-BE49-F238E27FC236}">
                <a16:creationId xmlns:a16="http://schemas.microsoft.com/office/drawing/2014/main" id="{6C46698F-08B9-6E2D-61D6-094939476F99}"/>
              </a:ext>
            </a:extLst>
          </xdr:cNvPr>
          <xdr:cNvSpPr>
            <a:spLocks noChangeArrowheads="1"/>
          </xdr:cNvSpPr>
        </xdr:nvSpPr>
        <xdr:spPr bwMode="auto">
          <a:xfrm>
            <a:off x="0" y="5146602610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+3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90" name="Rectangle 22">
            <a:extLst>
              <a:ext uri="{FF2B5EF4-FFF2-40B4-BE49-F238E27FC236}">
                <a16:creationId xmlns:a16="http://schemas.microsoft.com/office/drawing/2014/main" id="{87B0E81B-E112-3436-3DB3-652FCDD10B93}"/>
              </a:ext>
            </a:extLst>
          </xdr:cNvPr>
          <xdr:cNvSpPr>
            <a:spLocks noChangeArrowheads="1"/>
          </xdr:cNvSpPr>
        </xdr:nvSpPr>
        <xdr:spPr bwMode="auto">
          <a:xfrm>
            <a:off x="0" y="5146602610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+2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91" name="Rectangle 23">
            <a:extLst>
              <a:ext uri="{FF2B5EF4-FFF2-40B4-BE49-F238E27FC236}">
                <a16:creationId xmlns:a16="http://schemas.microsoft.com/office/drawing/2014/main" id="{9FFB4DD8-6CF0-58F1-55FB-728B5CD6AED1}"/>
              </a:ext>
            </a:extLst>
          </xdr:cNvPr>
          <xdr:cNvSpPr>
            <a:spLocks noChangeArrowheads="1"/>
          </xdr:cNvSpPr>
        </xdr:nvSpPr>
        <xdr:spPr bwMode="auto">
          <a:xfrm>
            <a:off x="0" y="5146602610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+1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  <xdr:sp macro="" textlink="">
        <xdr:nvSpPr>
          <xdr:cNvPr id="7192" name="Rectangle 24">
            <a:extLst>
              <a:ext uri="{FF2B5EF4-FFF2-40B4-BE49-F238E27FC236}">
                <a16:creationId xmlns:a16="http://schemas.microsoft.com/office/drawing/2014/main" id="{AC758FBB-C9FE-1DD3-0C6D-4437970DF7AF}"/>
              </a:ext>
            </a:extLst>
          </xdr:cNvPr>
          <xdr:cNvSpPr>
            <a:spLocks noChangeArrowheads="1"/>
          </xdr:cNvSpPr>
        </xdr:nvSpPr>
        <xdr:spPr bwMode="auto">
          <a:xfrm>
            <a:off x="0" y="51466026100"/>
            <a:ext cx="0" cy="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36576" tIns="32004" rIns="36576" bIns="0" anchor="t" upright="1"/>
          <a:lstStyle/>
          <a:p>
            <a:pPr algn="ctr" rtl="0">
              <a:defRPr sz="1000"/>
            </a:pPr>
            <a:r>
              <a:rPr lang="en-US" altLang="zh-TW" sz="1200" b="1" i="0" strike="noStrike">
                <a:solidFill>
                  <a:srgbClr val="000000"/>
                </a:solidFill>
                <a:latin typeface="MS Hei"/>
                <a:ea typeface="MS Hei"/>
              </a:rPr>
              <a:t>n</a:t>
            </a:r>
            <a:r>
              <a:rPr lang="en-US" altLang="zh-TW" sz="1000" b="1" i="0" strike="noStrike">
                <a:solidFill>
                  <a:srgbClr val="000000"/>
                </a:solidFill>
                <a:latin typeface="MS Hei"/>
                <a:ea typeface="MS Hei"/>
              </a:rPr>
              <a:t>+0</a:t>
            </a: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defRPr sz="1000"/>
            </a:pPr>
            <a:endParaRPr lang="en-US" altLang="zh-TW" sz="1200" b="0" i="0" strike="noStrike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0</xdr:col>
      <xdr:colOff>0</xdr:colOff>
      <xdr:row>10</xdr:row>
      <xdr:rowOff>0</xdr:rowOff>
    </xdr:from>
    <xdr:to>
      <xdr:col>0</xdr:col>
      <xdr:colOff>0</xdr:colOff>
      <xdr:row>10</xdr:row>
      <xdr:rowOff>209550</xdr:rowOff>
    </xdr:to>
    <xdr:sp macro="" textlink="">
      <xdr:nvSpPr>
        <xdr:cNvPr id="7954" name="Line 25">
          <a:extLst>
            <a:ext uri="{FF2B5EF4-FFF2-40B4-BE49-F238E27FC236}">
              <a16:creationId xmlns:a16="http://schemas.microsoft.com/office/drawing/2014/main" id="{28B4505C-5923-2E02-F350-227FC3A4C787}"/>
            </a:ext>
          </a:extLst>
        </xdr:cNvPr>
        <xdr:cNvSpPr>
          <a:spLocks noChangeShapeType="1"/>
        </xdr:cNvSpPr>
      </xdr:nvSpPr>
      <xdr:spPr bwMode="auto">
        <a:xfrm>
          <a:off x="0" y="1955800"/>
          <a:ext cx="0" cy="196850"/>
        </a:xfrm>
        <a:prstGeom prst="line">
          <a:avLst/>
        </a:prstGeom>
        <a:noFill/>
        <a:ln w="28575">
          <a:solidFill>
            <a:srgbClr val="000000"/>
          </a:solidFill>
          <a:prstDash val="sys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0</xdr:colOff>
      <xdr:row>10</xdr:row>
      <xdr:rowOff>0</xdr:rowOff>
    </xdr:from>
    <xdr:to>
      <xdr:col>0</xdr:col>
      <xdr:colOff>0</xdr:colOff>
      <xdr:row>10</xdr:row>
      <xdr:rowOff>209550</xdr:rowOff>
    </xdr:to>
    <xdr:sp macro="" textlink="">
      <xdr:nvSpPr>
        <xdr:cNvPr id="7955" name="Line 26">
          <a:extLst>
            <a:ext uri="{FF2B5EF4-FFF2-40B4-BE49-F238E27FC236}">
              <a16:creationId xmlns:a16="http://schemas.microsoft.com/office/drawing/2014/main" id="{3350AC8D-A483-9BE9-EA00-4D16027B8FE9}"/>
            </a:ext>
          </a:extLst>
        </xdr:cNvPr>
        <xdr:cNvSpPr>
          <a:spLocks noChangeShapeType="1"/>
        </xdr:cNvSpPr>
      </xdr:nvSpPr>
      <xdr:spPr bwMode="auto">
        <a:xfrm flipH="1">
          <a:off x="0" y="1955800"/>
          <a:ext cx="0" cy="196850"/>
        </a:xfrm>
        <a:prstGeom prst="line">
          <a:avLst/>
        </a:prstGeom>
        <a:noFill/>
        <a:ln w="28575">
          <a:solidFill>
            <a:srgbClr val="000000"/>
          </a:solidFill>
          <a:prstDash val="sys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76200</xdr:colOff>
      <xdr:row>79</xdr:row>
      <xdr:rowOff>55078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4F50EEB-D57E-43A3-99CB-487EF30AD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077450" cy="16609528"/>
        </a:xfrm>
        <a:prstGeom prst="rect">
          <a:avLst/>
        </a:prstGeom>
      </xdr:spPr>
    </xdr:pic>
    <xdr:clientData/>
  </xdr:twoCellAnchor>
  <xdr:oneCellAnchor>
    <xdr:from>
      <xdr:col>0</xdr:col>
      <xdr:colOff>457200</xdr:colOff>
      <xdr:row>1</xdr:row>
      <xdr:rowOff>95250</xdr:rowOff>
    </xdr:from>
    <xdr:ext cx="2053319" cy="311496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8F8F2E5-7A8C-4ED4-AF8B-EE7AD521EB59}"/>
            </a:ext>
          </a:extLst>
        </xdr:cNvPr>
        <xdr:cNvSpPr txBox="1"/>
      </xdr:nvSpPr>
      <xdr:spPr>
        <a:xfrm>
          <a:off x="457200" y="304800"/>
          <a:ext cx="2053319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400" b="1">
              <a:solidFill>
                <a:srgbClr val="FF0000"/>
              </a:solidFill>
            </a:rPr>
            <a:t>PP_SELECT  Internal Flow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11C69-6BE2-435C-8B90-814A830E1D79}">
  <sheetPr codeName="Sheet1">
    <pageSetUpPr fitToPage="1"/>
  </sheetPr>
  <dimension ref="A1:I40"/>
  <sheetViews>
    <sheetView showGridLines="0" tabSelected="1" zoomScaleNormal="100" workbookViewId="0">
      <selection activeCell="G27" sqref="G27"/>
    </sheetView>
  </sheetViews>
  <sheetFormatPr defaultColWidth="9" defaultRowHeight="15"/>
  <cols>
    <col min="1" max="1" width="4.875" style="3" customWidth="1"/>
    <col min="2" max="2" width="7.625" style="3" customWidth="1"/>
    <col min="3" max="3" width="43.75" style="5" customWidth="1"/>
    <col min="4" max="4" width="8.625" style="51" customWidth="1"/>
    <col min="5" max="5" width="16.625" style="3" customWidth="1"/>
    <col min="6" max="16384" width="9" style="4"/>
  </cols>
  <sheetData>
    <row r="1" spans="1:9">
      <c r="C1" s="3"/>
      <c r="F1" s="3"/>
      <c r="G1" s="3"/>
      <c r="H1" s="3"/>
      <c r="I1" s="3"/>
    </row>
    <row r="2" spans="1:9">
      <c r="C2" s="3"/>
      <c r="F2" s="3"/>
      <c r="G2" s="3"/>
      <c r="H2" s="3"/>
      <c r="I2" s="3"/>
    </row>
    <row r="3" spans="1:9">
      <c r="C3" s="3"/>
      <c r="F3" s="3"/>
      <c r="G3" s="3"/>
      <c r="H3" s="3"/>
      <c r="I3" s="3"/>
    </row>
    <row r="4" spans="1:9" ht="16.5">
      <c r="A4" s="119" t="s">
        <v>183</v>
      </c>
      <c r="B4" s="119"/>
      <c r="C4" s="119"/>
      <c r="D4" s="119"/>
      <c r="E4" s="119"/>
      <c r="F4" s="3"/>
      <c r="G4" s="3"/>
      <c r="H4" s="3"/>
      <c r="I4" s="3"/>
    </row>
    <row r="5" spans="1:9">
      <c r="A5" s="120" t="s">
        <v>182</v>
      </c>
      <c r="B5" s="120"/>
      <c r="C5" s="120"/>
      <c r="D5" s="120"/>
      <c r="E5" s="120"/>
      <c r="F5" s="3"/>
      <c r="G5" s="3"/>
      <c r="H5" s="3"/>
      <c r="I5" s="3"/>
    </row>
    <row r="6" spans="1:9">
      <c r="C6" s="3"/>
      <c r="F6" s="3"/>
      <c r="G6" s="3"/>
      <c r="H6" s="3"/>
      <c r="I6" s="3"/>
    </row>
    <row r="7" spans="1:9" ht="16.5">
      <c r="A7" s="122" t="s">
        <v>39</v>
      </c>
      <c r="B7" s="122"/>
      <c r="C7" s="122"/>
      <c r="D7" s="122"/>
      <c r="E7" s="122"/>
      <c r="F7" s="5"/>
      <c r="G7" s="5"/>
      <c r="H7" s="3"/>
      <c r="I7" s="3"/>
    </row>
    <row r="8" spans="1:9">
      <c r="A8" s="122" t="s">
        <v>7</v>
      </c>
      <c r="B8" s="122"/>
      <c r="C8" s="122"/>
      <c r="D8" s="122"/>
      <c r="E8" s="122"/>
      <c r="F8" s="5"/>
      <c r="G8" s="5"/>
      <c r="H8" s="3"/>
      <c r="I8" s="3"/>
    </row>
    <row r="9" spans="1:9" ht="16.5">
      <c r="A9" s="123" t="s">
        <v>265</v>
      </c>
      <c r="B9" s="122"/>
      <c r="C9" s="122"/>
      <c r="D9" s="122"/>
      <c r="E9" s="122"/>
      <c r="F9" s="5"/>
      <c r="G9" s="5"/>
      <c r="H9" s="3"/>
      <c r="I9" s="3"/>
    </row>
    <row r="12" spans="1:9" ht="31.5">
      <c r="A12" s="1" t="s">
        <v>32</v>
      </c>
      <c r="B12" s="1" t="s">
        <v>33</v>
      </c>
      <c r="C12" s="2" t="s">
        <v>34</v>
      </c>
      <c r="D12" s="52" t="s">
        <v>35</v>
      </c>
      <c r="E12" s="1" t="s">
        <v>36</v>
      </c>
      <c r="F12" s="6"/>
      <c r="G12" s="6"/>
      <c r="H12" s="6"/>
      <c r="I12" s="6"/>
    </row>
    <row r="13" spans="1:9" s="6" customFormat="1">
      <c r="A13" s="7">
        <v>1</v>
      </c>
      <c r="B13" s="8" t="s">
        <v>37</v>
      </c>
      <c r="C13" s="9" t="s">
        <v>24</v>
      </c>
      <c r="D13" s="53" t="s">
        <v>184</v>
      </c>
      <c r="E13" s="7"/>
    </row>
    <row r="14" spans="1:9">
      <c r="A14" s="7">
        <v>2</v>
      </c>
      <c r="B14" s="8" t="s">
        <v>210</v>
      </c>
      <c r="C14" s="9" t="s">
        <v>211</v>
      </c>
      <c r="D14" s="53" t="s">
        <v>212</v>
      </c>
      <c r="E14" s="7"/>
    </row>
    <row r="15" spans="1:9">
      <c r="A15" s="7">
        <v>3</v>
      </c>
      <c r="B15" s="8" t="s">
        <v>254</v>
      </c>
      <c r="C15" s="9" t="s">
        <v>255</v>
      </c>
      <c r="D15" s="8" t="s">
        <v>264</v>
      </c>
      <c r="E15" s="7"/>
    </row>
    <row r="16" spans="1:9">
      <c r="A16" s="7"/>
      <c r="B16" s="8"/>
      <c r="C16" s="9"/>
      <c r="D16" s="8"/>
      <c r="E16" s="10"/>
    </row>
    <row r="17" spans="1:5">
      <c r="A17" s="7"/>
      <c r="B17" s="8"/>
      <c r="C17" s="9"/>
      <c r="D17" s="8"/>
      <c r="E17" s="10"/>
    </row>
    <row r="18" spans="1:5">
      <c r="A18" s="7"/>
      <c r="B18" s="8"/>
      <c r="C18" s="9"/>
      <c r="D18" s="53"/>
      <c r="E18" s="10"/>
    </row>
    <row r="19" spans="1:5">
      <c r="A19" s="10"/>
      <c r="B19" s="10"/>
      <c r="C19" s="11"/>
      <c r="D19" s="54"/>
      <c r="E19" s="10"/>
    </row>
    <row r="20" spans="1:5">
      <c r="A20" s="10"/>
      <c r="B20" s="10"/>
      <c r="C20" s="11"/>
      <c r="D20" s="54"/>
      <c r="E20" s="10"/>
    </row>
    <row r="21" spans="1:5">
      <c r="A21" s="10"/>
      <c r="B21" s="10"/>
      <c r="C21" s="11"/>
      <c r="D21" s="54"/>
      <c r="E21" s="10"/>
    </row>
    <row r="22" spans="1:5">
      <c r="A22" s="10"/>
      <c r="B22" s="10"/>
      <c r="C22" s="11"/>
      <c r="D22" s="54"/>
      <c r="E22" s="10"/>
    </row>
    <row r="23" spans="1:5">
      <c r="A23" s="10"/>
      <c r="B23" s="10"/>
      <c r="C23" s="11"/>
      <c r="D23" s="54"/>
      <c r="E23" s="10"/>
    </row>
    <row r="24" spans="1:5">
      <c r="A24" s="10"/>
      <c r="B24" s="10"/>
      <c r="C24" s="11"/>
      <c r="D24" s="54"/>
      <c r="E24" s="10"/>
    </row>
    <row r="25" spans="1:5">
      <c r="A25" s="10"/>
      <c r="B25" s="10"/>
      <c r="C25" s="11"/>
      <c r="D25" s="54"/>
      <c r="E25" s="10"/>
    </row>
    <row r="26" spans="1:5">
      <c r="A26" s="10"/>
      <c r="B26" s="10"/>
      <c r="C26" s="11"/>
      <c r="D26" s="54"/>
      <c r="E26" s="10"/>
    </row>
    <row r="27" spans="1:5" ht="15.75">
      <c r="A27" s="14"/>
      <c r="B27" s="14"/>
      <c r="C27" s="14"/>
      <c r="D27" s="54"/>
      <c r="E27" s="10"/>
    </row>
    <row r="28" spans="1:5" ht="15.75">
      <c r="A28" s="14"/>
      <c r="B28" s="14"/>
      <c r="C28" s="14"/>
      <c r="D28" s="54"/>
      <c r="E28" s="10"/>
    </row>
    <row r="29" spans="1:5" ht="15.75">
      <c r="A29" s="14"/>
      <c r="B29" s="14"/>
      <c r="C29" s="14"/>
      <c r="D29" s="54"/>
      <c r="E29" s="10"/>
    </row>
    <row r="30" spans="1:5" ht="15.75">
      <c r="A30" s="14"/>
      <c r="B30" s="14"/>
      <c r="C30" s="14"/>
      <c r="D30" s="54"/>
      <c r="E30" s="10"/>
    </row>
    <row r="31" spans="1:5" ht="15.75">
      <c r="A31" s="14"/>
      <c r="B31" s="14"/>
      <c r="C31" s="14"/>
      <c r="D31" s="54"/>
      <c r="E31" s="10"/>
    </row>
    <row r="32" spans="1:5" ht="15.75">
      <c r="A32" s="14"/>
      <c r="B32" s="14"/>
      <c r="C32" s="14"/>
      <c r="D32" s="54"/>
      <c r="E32" s="10"/>
    </row>
    <row r="33" spans="1:5" ht="15.75">
      <c r="A33" s="14"/>
      <c r="B33" s="14"/>
      <c r="C33" s="14"/>
      <c r="D33" s="54"/>
      <c r="E33" s="10"/>
    </row>
    <row r="34" spans="1:5" ht="15.75">
      <c r="A34" s="13"/>
      <c r="B34" s="13"/>
      <c r="C34" s="13"/>
    </row>
    <row r="35" spans="1:5" ht="16.5">
      <c r="A35" s="15"/>
      <c r="B35" s="13"/>
      <c r="C35" s="12"/>
    </row>
    <row r="36" spans="1:5">
      <c r="C36" s="121"/>
      <c r="D36" s="121"/>
      <c r="E36" s="121"/>
    </row>
    <row r="37" spans="1:5">
      <c r="C37" s="121"/>
      <c r="D37" s="121"/>
      <c r="E37" s="121"/>
    </row>
    <row r="38" spans="1:5">
      <c r="C38" s="121"/>
      <c r="D38" s="121"/>
      <c r="E38" s="121"/>
    </row>
    <row r="39" spans="1:5">
      <c r="C39" s="121"/>
      <c r="D39" s="121"/>
      <c r="E39" s="121"/>
    </row>
    <row r="40" spans="1:5">
      <c r="C40" s="121"/>
      <c r="D40" s="121"/>
      <c r="E40" s="121"/>
    </row>
  </sheetData>
  <mergeCells count="10">
    <mergeCell ref="C40:E40"/>
    <mergeCell ref="C38:E38"/>
    <mergeCell ref="A7:E7"/>
    <mergeCell ref="A8:E8"/>
    <mergeCell ref="A9:E9"/>
    <mergeCell ref="A4:E4"/>
    <mergeCell ref="A5:E5"/>
    <mergeCell ref="C36:E36"/>
    <mergeCell ref="C37:E37"/>
    <mergeCell ref="C39:E39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scale="89" orientation="portrait" horizontalDpi="4294967292" verticalDpi="200" r:id="rId1"/>
  <headerFooter alignWithMargins="0">
    <oddFooter>&amp;C&amp;"Times New Roman,標準"&amp;P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A8873-3BD0-4E25-BDE6-812C904B4CF1}">
  <sheetPr codeName="Sheet2"/>
  <dimension ref="A1:J73"/>
  <sheetViews>
    <sheetView showGridLines="0" zoomScaleNormal="100" zoomScaleSheetLayoutView="100" workbookViewId="0">
      <selection activeCell="E34" sqref="E34"/>
    </sheetView>
  </sheetViews>
  <sheetFormatPr defaultColWidth="9" defaultRowHeight="15"/>
  <cols>
    <col min="1" max="1" width="3.5" style="24" customWidth="1"/>
    <col min="2" max="2" width="13.375" style="16" bestFit="1" customWidth="1"/>
    <col min="3" max="3" width="15.75" style="16" customWidth="1"/>
    <col min="4" max="4" width="6.375" style="16" customWidth="1"/>
    <col min="5" max="5" width="13.75" style="16" customWidth="1"/>
    <col min="6" max="6" width="14.25" style="16" customWidth="1"/>
    <col min="7" max="7" width="10" style="16" customWidth="1"/>
    <col min="8" max="8" width="11.75" style="16" customWidth="1"/>
    <col min="9" max="9" width="1.875" style="16" customWidth="1"/>
    <col min="10" max="10" width="2.125" style="16" customWidth="1"/>
    <col min="11" max="16384" width="9" style="16"/>
  </cols>
  <sheetData>
    <row r="1" spans="1:10" ht="16.5" customHeight="1">
      <c r="A1" s="128" t="s">
        <v>8</v>
      </c>
      <c r="B1" s="129"/>
      <c r="C1" s="132" t="s">
        <v>40</v>
      </c>
      <c r="D1" s="133"/>
      <c r="E1" s="133"/>
      <c r="F1" s="133"/>
      <c r="G1" s="133"/>
      <c r="H1" s="133"/>
      <c r="I1" s="133"/>
      <c r="J1" s="134"/>
    </row>
    <row r="2" spans="1:10">
      <c r="A2" s="130"/>
      <c r="B2" s="131"/>
      <c r="C2" s="17" t="s">
        <v>41</v>
      </c>
      <c r="D2" s="135" t="str">
        <f>Cover!C13</f>
        <v>CIM Equipment spec.</v>
      </c>
      <c r="E2" s="136"/>
      <c r="F2" s="136"/>
      <c r="G2" s="136"/>
      <c r="H2" s="136"/>
      <c r="I2" s="136"/>
      <c r="J2" s="137"/>
    </row>
    <row r="3" spans="1:10" ht="14.25" customHeight="1">
      <c r="A3" s="18"/>
      <c r="B3" s="19"/>
      <c r="C3" s="19"/>
      <c r="J3" s="20"/>
    </row>
    <row r="4" spans="1:10" ht="16.5" customHeight="1">
      <c r="A4" s="21" t="s">
        <v>10</v>
      </c>
      <c r="C4" s="22" t="str">
        <f>Cover!A9</f>
        <v>【營錡酸洗】</v>
      </c>
      <c r="J4" s="20"/>
    </row>
    <row r="5" spans="1:10" ht="15.75">
      <c r="A5" s="21" t="s">
        <v>185</v>
      </c>
      <c r="C5" s="86" t="s">
        <v>186</v>
      </c>
      <c r="J5" s="20"/>
    </row>
    <row r="6" spans="1:10">
      <c r="A6" s="21"/>
      <c r="J6" s="20"/>
    </row>
    <row r="7" spans="1:10">
      <c r="A7" s="21"/>
      <c r="C7" s="23"/>
      <c r="J7" s="20"/>
    </row>
    <row r="8" spans="1:10" ht="14.25" customHeight="1">
      <c r="A8" s="21"/>
      <c r="C8" s="23"/>
      <c r="J8" s="20"/>
    </row>
    <row r="9" spans="1:10">
      <c r="A9" s="21"/>
      <c r="J9" s="20"/>
    </row>
    <row r="10" spans="1:10" ht="15.75" customHeight="1">
      <c r="A10" s="21" t="s">
        <v>42</v>
      </c>
      <c r="J10" s="20"/>
    </row>
    <row r="11" spans="1:10">
      <c r="A11" s="21"/>
      <c r="J11" s="20"/>
    </row>
    <row r="12" spans="1:10" ht="16.5">
      <c r="A12" s="21"/>
      <c r="B12" s="126" t="s">
        <v>43</v>
      </c>
      <c r="C12" s="127"/>
      <c r="D12" s="138" t="s">
        <v>187</v>
      </c>
      <c r="E12" s="138"/>
      <c r="F12" s="138"/>
      <c r="G12" s="124" t="s">
        <v>188</v>
      </c>
      <c r="H12" s="125"/>
      <c r="J12" s="20"/>
    </row>
    <row r="13" spans="1:10">
      <c r="A13" s="21"/>
      <c r="D13" s="25" t="s">
        <v>44</v>
      </c>
      <c r="E13" s="25" t="s">
        <v>45</v>
      </c>
      <c r="F13" s="25" t="s">
        <v>46</v>
      </c>
      <c r="G13" s="25" t="s">
        <v>45</v>
      </c>
      <c r="H13" s="25" t="s">
        <v>46</v>
      </c>
      <c r="J13" s="20"/>
    </row>
    <row r="14" spans="1:10">
      <c r="A14" s="26"/>
      <c r="B14" s="89" t="s">
        <v>230</v>
      </c>
      <c r="C14" s="87" t="s">
        <v>189</v>
      </c>
      <c r="D14" s="84" t="s">
        <v>260</v>
      </c>
      <c r="E14" s="85" t="s">
        <v>49</v>
      </c>
      <c r="F14" s="85" t="s">
        <v>205</v>
      </c>
      <c r="G14" s="85">
        <v>40001</v>
      </c>
      <c r="H14" s="85">
        <v>40480</v>
      </c>
      <c r="J14" s="20"/>
    </row>
    <row r="15" spans="1:10">
      <c r="A15" s="26"/>
      <c r="B15" s="89" t="s">
        <v>47</v>
      </c>
      <c r="C15" s="87" t="s">
        <v>189</v>
      </c>
      <c r="D15" s="84" t="s">
        <v>261</v>
      </c>
      <c r="E15" s="85" t="s">
        <v>49</v>
      </c>
      <c r="F15" s="85" t="s">
        <v>205</v>
      </c>
      <c r="G15" s="85">
        <v>40001</v>
      </c>
      <c r="H15" s="85">
        <v>40480</v>
      </c>
      <c r="J15" s="20"/>
    </row>
    <row r="16" spans="1:10">
      <c r="A16" s="26"/>
      <c r="B16" s="88" t="s">
        <v>266</v>
      </c>
      <c r="C16" s="87" t="s">
        <v>189</v>
      </c>
      <c r="D16" s="85">
        <v>150</v>
      </c>
      <c r="E16" s="85" t="s">
        <v>206</v>
      </c>
      <c r="F16" s="85" t="s">
        <v>207</v>
      </c>
      <c r="G16" s="85">
        <v>40501</v>
      </c>
      <c r="H16" s="85">
        <v>40650</v>
      </c>
      <c r="J16" s="20"/>
    </row>
    <row r="17" spans="1:10">
      <c r="A17" s="26"/>
      <c r="B17" s="88" t="s">
        <v>15</v>
      </c>
      <c r="C17" s="87" t="s">
        <v>189</v>
      </c>
      <c r="D17" s="85">
        <v>440</v>
      </c>
      <c r="E17" s="85" t="s">
        <v>208</v>
      </c>
      <c r="F17" s="85" t="s">
        <v>209</v>
      </c>
      <c r="G17" s="85">
        <v>40701</v>
      </c>
      <c r="H17" s="85">
        <v>41140</v>
      </c>
      <c r="J17" s="20"/>
    </row>
    <row r="18" spans="1:10">
      <c r="A18" s="26"/>
      <c r="J18" s="20"/>
    </row>
    <row r="19" spans="1:10">
      <c r="A19" s="26"/>
      <c r="J19" s="20"/>
    </row>
    <row r="20" spans="1:10">
      <c r="A20" s="21"/>
      <c r="J20" s="20"/>
    </row>
    <row r="21" spans="1:10">
      <c r="A21" s="21"/>
      <c r="J21" s="20"/>
    </row>
    <row r="22" spans="1:10">
      <c r="A22" s="21"/>
      <c r="J22" s="20"/>
    </row>
    <row r="23" spans="1:10">
      <c r="A23" s="21"/>
      <c r="J23" s="20"/>
    </row>
    <row r="24" spans="1:10">
      <c r="A24" s="21"/>
      <c r="J24" s="20"/>
    </row>
    <row r="25" spans="1:10">
      <c r="A25" s="21"/>
      <c r="J25" s="20"/>
    </row>
    <row r="26" spans="1:10">
      <c r="A26" s="21"/>
      <c r="J26" s="20"/>
    </row>
    <row r="27" spans="1:10">
      <c r="A27" s="21"/>
      <c r="J27" s="20"/>
    </row>
    <row r="28" spans="1:10">
      <c r="A28" s="21"/>
      <c r="J28" s="20"/>
    </row>
    <row r="29" spans="1:10" ht="15.75" thickBot="1">
      <c r="A29" s="27"/>
      <c r="B29" s="28"/>
      <c r="C29" s="28"/>
      <c r="D29" s="28"/>
      <c r="E29" s="28"/>
      <c r="F29" s="28"/>
      <c r="G29" s="28"/>
      <c r="H29" s="28"/>
      <c r="I29" s="28"/>
      <c r="J29" s="29"/>
    </row>
    <row r="30" spans="1:10">
      <c r="A30" s="16"/>
    </row>
    <row r="31" spans="1:10">
      <c r="A31" s="16"/>
    </row>
    <row r="32" spans="1:10">
      <c r="A32" s="16"/>
    </row>
    <row r="33" spans="1:1">
      <c r="A33" s="16"/>
    </row>
    <row r="34" spans="1:1">
      <c r="A34" s="16"/>
    </row>
    <row r="35" spans="1:1">
      <c r="A35" s="16"/>
    </row>
    <row r="36" spans="1:1">
      <c r="A36" s="16"/>
    </row>
    <row r="37" spans="1:1">
      <c r="A37" s="16"/>
    </row>
    <row r="38" spans="1:1">
      <c r="A38" s="16"/>
    </row>
    <row r="39" spans="1:1">
      <c r="A39" s="16"/>
    </row>
    <row r="40" spans="1:1">
      <c r="A40" s="16"/>
    </row>
    <row r="41" spans="1:1">
      <c r="A41" s="16"/>
    </row>
    <row r="42" spans="1:1">
      <c r="A42" s="16"/>
    </row>
    <row r="43" spans="1:1">
      <c r="A43" s="16"/>
    </row>
    <row r="44" spans="1:1">
      <c r="A44" s="16"/>
    </row>
    <row r="45" spans="1:1" ht="15.75" customHeight="1">
      <c r="A45" s="16"/>
    </row>
    <row r="46" spans="1:1" ht="16.5" customHeight="1">
      <c r="A46" s="16"/>
    </row>
    <row r="47" spans="1:1">
      <c r="A47" s="16"/>
    </row>
    <row r="48" spans="1:1">
      <c r="A48" s="16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62" ht="15.75" customHeight="1"/>
    <row r="63" ht="14.25" customHeight="1"/>
    <row r="64" ht="14.25" customHeight="1"/>
    <row r="65" spans="2:8" ht="14.25" customHeight="1"/>
    <row r="66" spans="2:8" ht="14.25" customHeight="1"/>
    <row r="67" spans="2:8" ht="14.25" customHeight="1"/>
    <row r="68" spans="2:8" ht="14.25" customHeight="1"/>
    <row r="69" spans="2:8" ht="14.25" customHeight="1"/>
    <row r="73" spans="2:8" s="24" customFormat="1" ht="14.25" customHeight="1">
      <c r="B73" s="16"/>
      <c r="C73" s="16"/>
      <c r="D73" s="16"/>
      <c r="E73" s="16"/>
      <c r="F73" s="16"/>
      <c r="G73" s="16"/>
      <c r="H73" s="16"/>
    </row>
  </sheetData>
  <mergeCells count="6">
    <mergeCell ref="G12:H12"/>
    <mergeCell ref="B12:C12"/>
    <mergeCell ref="A1:B2"/>
    <mergeCell ref="C1:J1"/>
    <mergeCell ref="D2:J2"/>
    <mergeCell ref="D12:F12"/>
  </mergeCells>
  <phoneticPr fontId="2" type="noConversion"/>
  <printOptions horizontalCentered="1"/>
  <pageMargins left="0.59055118110236227" right="0.15748031496062992" top="0.98425196850393704" bottom="0.98425196850393704" header="0.51181102362204722" footer="0.51181102362204722"/>
  <pageSetup paperSize="9" scale="90" orientation="portrait" horizontalDpi="4294967292" verticalDpi="200" r:id="rId1"/>
  <headerFooter alignWithMargins="0">
    <oddFooter>&amp;C&amp;"Times New Roman,標準"&amp;P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27D7C-A8F1-4193-97EE-4134F3405B34}">
  <dimension ref="A1"/>
  <sheetViews>
    <sheetView workbookViewId="0">
      <selection activeCell="K20" sqref="K20"/>
    </sheetView>
  </sheetViews>
  <sheetFormatPr defaultColWidth="8.75" defaultRowHeight="16.5"/>
  <cols>
    <col min="1" max="16384" width="8.75" style="118"/>
  </cols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A0954-42DF-4048-8184-E2F142EBEBD2}">
  <dimension ref="A1:K207"/>
  <sheetViews>
    <sheetView showGridLines="0" zoomScale="85" zoomScaleNormal="85" zoomScaleSheetLayoutView="75" workbookViewId="0">
      <selection activeCell="N19" sqref="N19"/>
    </sheetView>
  </sheetViews>
  <sheetFormatPr defaultColWidth="9" defaultRowHeight="15"/>
  <cols>
    <col min="1" max="1" width="12" style="6" bestFit="1" customWidth="1"/>
    <col min="2" max="2" width="12" style="6" customWidth="1"/>
    <col min="3" max="3" width="33.125" style="6" customWidth="1"/>
    <col min="4" max="4" width="17" style="6" customWidth="1"/>
    <col min="5" max="8" width="8" style="46" customWidth="1"/>
    <col min="9" max="9" width="33" style="6" bestFit="1" customWidth="1"/>
    <col min="10" max="10" width="25.625" style="6" customWidth="1"/>
    <col min="11" max="16384" width="9" style="6"/>
  </cols>
  <sheetData>
    <row r="1" spans="1:11">
      <c r="A1" s="50" t="s">
        <v>8</v>
      </c>
      <c r="B1" s="90"/>
      <c r="C1" s="153" t="s">
        <v>50</v>
      </c>
      <c r="D1" s="154"/>
      <c r="E1" s="154"/>
      <c r="F1" s="154"/>
      <c r="G1" s="154"/>
      <c r="H1" s="154"/>
      <c r="I1" s="154"/>
      <c r="J1" s="155"/>
    </row>
    <row r="2" spans="1:11">
      <c r="A2" s="50"/>
      <c r="B2" s="50"/>
      <c r="C2" s="36" t="s">
        <v>9</v>
      </c>
      <c r="D2" s="63"/>
      <c r="E2" s="156" t="str">
        <f>Cover!C13</f>
        <v>CIM Equipment spec.</v>
      </c>
      <c r="F2" s="156"/>
      <c r="G2" s="156"/>
      <c r="H2" s="156"/>
      <c r="I2" s="156"/>
      <c r="J2" s="157"/>
    </row>
    <row r="3" spans="1:11" ht="15" customHeight="1">
      <c r="A3" s="158" t="s">
        <v>192</v>
      </c>
      <c r="B3" s="159"/>
      <c r="C3" s="159"/>
      <c r="D3" s="58" t="s">
        <v>49</v>
      </c>
      <c r="E3" s="58"/>
      <c r="G3" s="6"/>
      <c r="H3" s="6"/>
      <c r="J3" s="37"/>
    </row>
    <row r="4" spans="1:11" ht="15.6" customHeight="1">
      <c r="A4" s="160" t="s">
        <v>193</v>
      </c>
      <c r="B4" s="161"/>
      <c r="C4" s="161"/>
      <c r="D4" s="92">
        <v>40001</v>
      </c>
      <c r="E4" s="57"/>
      <c r="F4" s="57"/>
      <c r="G4" s="57"/>
      <c r="H4" s="57"/>
      <c r="I4" s="57"/>
      <c r="J4" s="31"/>
    </row>
    <row r="5" spans="1:11" ht="30.75" thickBot="1">
      <c r="A5" s="38" t="s">
        <v>190</v>
      </c>
      <c r="B5" s="91" t="s">
        <v>191</v>
      </c>
      <c r="C5" s="39" t="s">
        <v>4</v>
      </c>
      <c r="D5" s="39" t="s">
        <v>53</v>
      </c>
      <c r="E5" s="162" t="s">
        <v>52</v>
      </c>
      <c r="F5" s="163"/>
      <c r="G5" s="163"/>
      <c r="H5" s="164"/>
      <c r="I5" s="30" t="s">
        <v>5</v>
      </c>
      <c r="J5" s="40" t="s">
        <v>6</v>
      </c>
    </row>
    <row r="6" spans="1:11" ht="15.6" customHeight="1">
      <c r="A6" s="141" t="s">
        <v>177</v>
      </c>
      <c r="B6" s="142"/>
      <c r="C6" s="142"/>
      <c r="D6" s="142"/>
      <c r="E6" s="142"/>
      <c r="F6" s="142"/>
      <c r="G6" s="142"/>
      <c r="H6" s="142"/>
      <c r="I6" s="142"/>
      <c r="J6" s="143"/>
    </row>
    <row r="7" spans="1:11" ht="15" customHeight="1">
      <c r="A7" s="32" t="str">
        <f t="shared" ref="A7:A57" si="0">LEFT($D$3, 2) &amp; (MID($D$3, 3, LEN($D$3)) + K7)</f>
        <v>DM10100</v>
      </c>
      <c r="B7" s="93">
        <f t="shared" ref="B7:B57" si="1">$D$4+K7</f>
        <v>40101</v>
      </c>
      <c r="C7" s="113" t="s">
        <v>220</v>
      </c>
      <c r="D7" s="115" t="s">
        <v>226</v>
      </c>
      <c r="E7" s="83" t="s">
        <v>38</v>
      </c>
      <c r="F7" s="83" t="s">
        <v>38</v>
      </c>
      <c r="G7" s="83" t="s">
        <v>38</v>
      </c>
      <c r="H7" s="83" t="s">
        <v>38</v>
      </c>
      <c r="I7" s="116" t="s">
        <v>232</v>
      </c>
      <c r="J7" s="117" t="s">
        <v>173</v>
      </c>
      <c r="K7" s="6">
        <v>100</v>
      </c>
    </row>
    <row r="8" spans="1:11" ht="15" customHeight="1">
      <c r="A8" s="32" t="str">
        <f t="shared" si="0"/>
        <v>DM10101</v>
      </c>
      <c r="B8" s="93">
        <f t="shared" si="1"/>
        <v>40102</v>
      </c>
      <c r="C8" s="113" t="s">
        <v>267</v>
      </c>
      <c r="D8" s="115" t="s">
        <v>227</v>
      </c>
      <c r="E8" s="83" t="s">
        <v>38</v>
      </c>
      <c r="F8" s="83" t="s">
        <v>38</v>
      </c>
      <c r="G8" s="83" t="s">
        <v>38</v>
      </c>
      <c r="H8" s="83" t="s">
        <v>38</v>
      </c>
      <c r="I8" s="116" t="s">
        <v>269</v>
      </c>
      <c r="J8" s="117" t="s">
        <v>173</v>
      </c>
      <c r="K8" s="6">
        <v>101</v>
      </c>
    </row>
    <row r="9" spans="1:11" ht="15" customHeight="1">
      <c r="A9" s="32" t="str">
        <f t="shared" si="0"/>
        <v>DM10102</v>
      </c>
      <c r="B9" s="93">
        <f t="shared" si="1"/>
        <v>40103</v>
      </c>
      <c r="C9" s="113" t="s">
        <v>222</v>
      </c>
      <c r="D9" s="115" t="s">
        <v>228</v>
      </c>
      <c r="E9" s="83" t="s">
        <v>38</v>
      </c>
      <c r="F9" s="83" t="s">
        <v>38</v>
      </c>
      <c r="G9" s="83" t="s">
        <v>38</v>
      </c>
      <c r="H9" s="83" t="s">
        <v>38</v>
      </c>
      <c r="I9" s="116" t="s">
        <v>233</v>
      </c>
      <c r="J9" s="117" t="s">
        <v>173</v>
      </c>
      <c r="K9" s="6">
        <v>102</v>
      </c>
    </row>
    <row r="10" spans="1:11" ht="15.75" customHeight="1">
      <c r="A10" s="32" t="str">
        <f t="shared" si="0"/>
        <v>DM10103</v>
      </c>
      <c r="B10" s="93">
        <f t="shared" si="1"/>
        <v>40104</v>
      </c>
      <c r="C10" s="41" t="s">
        <v>0</v>
      </c>
      <c r="D10" s="41"/>
      <c r="E10" s="10"/>
      <c r="F10" s="10"/>
      <c r="G10" s="10"/>
      <c r="H10" s="10"/>
      <c r="I10" s="80"/>
      <c r="J10" s="81"/>
      <c r="K10" s="6">
        <v>103</v>
      </c>
    </row>
    <row r="11" spans="1:11" ht="15.75" customHeight="1">
      <c r="A11" s="32" t="str">
        <f t="shared" si="0"/>
        <v>DM10104</v>
      </c>
      <c r="B11" s="93">
        <f t="shared" si="1"/>
        <v>40105</v>
      </c>
      <c r="C11" s="41" t="s">
        <v>0</v>
      </c>
      <c r="D11" s="41"/>
      <c r="E11" s="10"/>
      <c r="F11" s="10"/>
      <c r="G11" s="10"/>
      <c r="H11" s="10"/>
      <c r="I11" s="80"/>
      <c r="J11" s="81"/>
      <c r="K11" s="6">
        <v>104</v>
      </c>
    </row>
    <row r="12" spans="1:11" ht="15.75" customHeight="1">
      <c r="A12" s="32" t="str">
        <f t="shared" si="0"/>
        <v>DM10105</v>
      </c>
      <c r="B12" s="93">
        <f t="shared" si="1"/>
        <v>40106</v>
      </c>
      <c r="C12" s="41" t="s">
        <v>0</v>
      </c>
      <c r="D12" s="41"/>
      <c r="E12" s="10"/>
      <c r="F12" s="10"/>
      <c r="G12" s="10"/>
      <c r="H12" s="10"/>
      <c r="I12" s="80"/>
      <c r="J12" s="81"/>
      <c r="K12" s="6">
        <v>105</v>
      </c>
    </row>
    <row r="13" spans="1:11" ht="15.75" customHeight="1">
      <c r="A13" s="32" t="str">
        <f t="shared" si="0"/>
        <v>DM10106</v>
      </c>
      <c r="B13" s="93">
        <f t="shared" si="1"/>
        <v>40107</v>
      </c>
      <c r="C13" s="41" t="s">
        <v>0</v>
      </c>
      <c r="D13" s="41"/>
      <c r="E13" s="10"/>
      <c r="F13" s="10"/>
      <c r="G13" s="10"/>
      <c r="H13" s="10"/>
      <c r="I13" s="80"/>
      <c r="J13" s="81"/>
      <c r="K13" s="6">
        <v>106</v>
      </c>
    </row>
    <row r="14" spans="1:11" ht="15.75" customHeight="1">
      <c r="A14" s="32" t="str">
        <f t="shared" si="0"/>
        <v>DM10107</v>
      </c>
      <c r="B14" s="93">
        <f t="shared" si="1"/>
        <v>40108</v>
      </c>
      <c r="C14" s="41" t="s">
        <v>0</v>
      </c>
      <c r="D14" s="41"/>
      <c r="E14" s="10"/>
      <c r="F14" s="10"/>
      <c r="G14" s="10"/>
      <c r="H14" s="10"/>
      <c r="I14" s="80"/>
      <c r="J14" s="81"/>
      <c r="K14" s="6">
        <v>107</v>
      </c>
    </row>
    <row r="15" spans="1:11" ht="15.75" customHeight="1">
      <c r="A15" s="32" t="str">
        <f t="shared" si="0"/>
        <v>DM10108</v>
      </c>
      <c r="B15" s="93">
        <f t="shared" si="1"/>
        <v>40109</v>
      </c>
      <c r="C15" s="41" t="s">
        <v>0</v>
      </c>
      <c r="D15" s="41"/>
      <c r="E15" s="10"/>
      <c r="F15" s="10"/>
      <c r="G15" s="10"/>
      <c r="H15" s="10"/>
      <c r="I15" s="80"/>
      <c r="J15" s="81"/>
      <c r="K15" s="6">
        <v>108</v>
      </c>
    </row>
    <row r="16" spans="1:11" ht="15.75" customHeight="1">
      <c r="A16" s="32" t="str">
        <f t="shared" si="0"/>
        <v>DM10109</v>
      </c>
      <c r="B16" s="93">
        <f t="shared" si="1"/>
        <v>40110</v>
      </c>
      <c r="C16" s="41" t="s">
        <v>0</v>
      </c>
      <c r="D16" s="41"/>
      <c r="E16" s="10"/>
      <c r="F16" s="10"/>
      <c r="G16" s="10"/>
      <c r="H16" s="10"/>
      <c r="I16" s="80"/>
      <c r="J16" s="81"/>
      <c r="K16" s="6">
        <v>109</v>
      </c>
    </row>
    <row r="17" spans="1:11" ht="15.75" customHeight="1">
      <c r="A17" s="32" t="str">
        <f t="shared" si="0"/>
        <v>DM10110</v>
      </c>
      <c r="B17" s="93">
        <f t="shared" si="1"/>
        <v>40111</v>
      </c>
      <c r="C17" s="113" t="s">
        <v>252</v>
      </c>
      <c r="D17" s="115" t="s">
        <v>230</v>
      </c>
      <c r="E17" s="83" t="s">
        <v>38</v>
      </c>
      <c r="F17" s="83" t="s">
        <v>38</v>
      </c>
      <c r="G17" s="83" t="s">
        <v>38</v>
      </c>
      <c r="H17" s="83" t="s">
        <v>38</v>
      </c>
      <c r="I17" s="116" t="s">
        <v>232</v>
      </c>
      <c r="J17" s="117" t="s">
        <v>173</v>
      </c>
      <c r="K17" s="6">
        <v>110</v>
      </c>
    </row>
    <row r="18" spans="1:11" ht="15.75" customHeight="1">
      <c r="A18" s="32" t="str">
        <f t="shared" si="0"/>
        <v>DM10111</v>
      </c>
      <c r="B18" s="93">
        <f t="shared" si="1"/>
        <v>40112</v>
      </c>
      <c r="C18" s="113" t="s">
        <v>268</v>
      </c>
      <c r="D18" s="115" t="s">
        <v>230</v>
      </c>
      <c r="E18" s="83" t="s">
        <v>38</v>
      </c>
      <c r="F18" s="83" t="s">
        <v>38</v>
      </c>
      <c r="G18" s="83" t="s">
        <v>38</v>
      </c>
      <c r="H18" s="83" t="s">
        <v>38</v>
      </c>
      <c r="I18" s="116" t="s">
        <v>269</v>
      </c>
      <c r="J18" s="117" t="s">
        <v>173</v>
      </c>
      <c r="K18" s="6">
        <v>111</v>
      </c>
    </row>
    <row r="19" spans="1:11" ht="15.75" customHeight="1">
      <c r="A19" s="32" t="str">
        <f t="shared" si="0"/>
        <v>DM10112</v>
      </c>
      <c r="B19" s="93">
        <f t="shared" si="1"/>
        <v>40113</v>
      </c>
      <c r="C19" s="113" t="s">
        <v>253</v>
      </c>
      <c r="D19" s="115" t="s">
        <v>230</v>
      </c>
      <c r="E19" s="83" t="s">
        <v>38</v>
      </c>
      <c r="F19" s="83" t="s">
        <v>38</v>
      </c>
      <c r="G19" s="83" t="s">
        <v>38</v>
      </c>
      <c r="H19" s="83" t="s">
        <v>38</v>
      </c>
      <c r="I19" s="116" t="s">
        <v>233</v>
      </c>
      <c r="J19" s="117" t="s">
        <v>173</v>
      </c>
      <c r="K19" s="6">
        <v>112</v>
      </c>
    </row>
    <row r="20" spans="1:11" ht="15.75" customHeight="1">
      <c r="A20" s="32" t="str">
        <f t="shared" si="0"/>
        <v>DM10113</v>
      </c>
      <c r="B20" s="93">
        <f t="shared" si="1"/>
        <v>40114</v>
      </c>
      <c r="C20" s="41" t="s">
        <v>0</v>
      </c>
      <c r="D20" s="41"/>
      <c r="E20" s="10"/>
      <c r="F20" s="10"/>
      <c r="G20" s="10"/>
      <c r="H20" s="10"/>
      <c r="I20" s="80"/>
      <c r="J20" s="81"/>
      <c r="K20" s="6">
        <v>113</v>
      </c>
    </row>
    <row r="21" spans="1:11" ht="15.75" customHeight="1">
      <c r="A21" s="32" t="str">
        <f t="shared" si="0"/>
        <v>DM10114</v>
      </c>
      <c r="B21" s="93">
        <f t="shared" si="1"/>
        <v>40115</v>
      </c>
      <c r="C21" s="41" t="s">
        <v>0</v>
      </c>
      <c r="D21" s="41"/>
      <c r="E21" s="10"/>
      <c r="F21" s="10"/>
      <c r="G21" s="10"/>
      <c r="H21" s="10"/>
      <c r="I21" s="80"/>
      <c r="J21" s="81"/>
      <c r="K21" s="6">
        <v>114</v>
      </c>
    </row>
    <row r="22" spans="1:11" ht="15.75" customHeight="1">
      <c r="A22" s="32" t="str">
        <f t="shared" si="0"/>
        <v>DM10115</v>
      </c>
      <c r="B22" s="93">
        <f t="shared" si="1"/>
        <v>40116</v>
      </c>
      <c r="C22" s="41" t="s">
        <v>0</v>
      </c>
      <c r="D22" s="41"/>
      <c r="E22" s="10"/>
      <c r="F22" s="10"/>
      <c r="G22" s="10"/>
      <c r="H22" s="10"/>
      <c r="I22" s="80"/>
      <c r="J22" s="81"/>
      <c r="K22" s="6">
        <v>115</v>
      </c>
    </row>
    <row r="23" spans="1:11" ht="15.75" customHeight="1">
      <c r="A23" s="32" t="str">
        <f t="shared" si="0"/>
        <v>DM10116</v>
      </c>
      <c r="B23" s="93">
        <f t="shared" si="1"/>
        <v>40117</v>
      </c>
      <c r="C23" s="41" t="s">
        <v>0</v>
      </c>
      <c r="D23" s="41"/>
      <c r="E23" s="10"/>
      <c r="F23" s="10"/>
      <c r="G23" s="10"/>
      <c r="H23" s="10"/>
      <c r="I23" s="80"/>
      <c r="J23" s="81"/>
      <c r="K23" s="6">
        <v>116</v>
      </c>
    </row>
    <row r="24" spans="1:11" ht="15.75" customHeight="1">
      <c r="A24" s="32" t="str">
        <f t="shared" si="0"/>
        <v>DM10117</v>
      </c>
      <c r="B24" s="93">
        <f t="shared" si="1"/>
        <v>40118</v>
      </c>
      <c r="C24" s="41" t="s">
        <v>0</v>
      </c>
      <c r="D24" s="41"/>
      <c r="E24" s="10"/>
      <c r="F24" s="10"/>
      <c r="G24" s="10"/>
      <c r="H24" s="10"/>
      <c r="I24" s="80"/>
      <c r="J24" s="81"/>
      <c r="K24" s="6">
        <v>117</v>
      </c>
    </row>
    <row r="25" spans="1:11" ht="15.75" customHeight="1">
      <c r="A25" s="32" t="str">
        <f t="shared" si="0"/>
        <v>DM10118</v>
      </c>
      <c r="B25" s="93">
        <f t="shared" si="1"/>
        <v>40119</v>
      </c>
      <c r="C25" s="41" t="s">
        <v>0</v>
      </c>
      <c r="D25" s="41"/>
      <c r="E25" s="10"/>
      <c r="F25" s="10"/>
      <c r="G25" s="10"/>
      <c r="H25" s="10"/>
      <c r="I25" s="80"/>
      <c r="J25" s="81"/>
      <c r="K25" s="6">
        <v>118</v>
      </c>
    </row>
    <row r="26" spans="1:11" ht="15.75" customHeight="1" thickBot="1">
      <c r="A26" s="32" t="str">
        <f t="shared" si="0"/>
        <v>DM10119</v>
      </c>
      <c r="B26" s="93">
        <f t="shared" si="1"/>
        <v>40120</v>
      </c>
      <c r="C26" s="41" t="s">
        <v>0</v>
      </c>
      <c r="D26" s="41"/>
      <c r="E26" s="10"/>
      <c r="F26" s="10"/>
      <c r="G26" s="10"/>
      <c r="H26" s="10"/>
      <c r="I26" s="80"/>
      <c r="J26" s="81"/>
      <c r="K26" s="6">
        <v>119</v>
      </c>
    </row>
    <row r="27" spans="1:11" ht="15.75" customHeight="1">
      <c r="A27" s="141" t="s">
        <v>259</v>
      </c>
      <c r="B27" s="142"/>
      <c r="C27" s="142"/>
      <c r="D27" s="142"/>
      <c r="E27" s="142"/>
      <c r="F27" s="142"/>
      <c r="G27" s="142"/>
      <c r="H27" s="142"/>
      <c r="I27" s="142"/>
      <c r="J27" s="143"/>
    </row>
    <row r="28" spans="1:11" ht="15.75" customHeight="1">
      <c r="A28" s="32" t="str">
        <f t="shared" si="0"/>
        <v>DM10120</v>
      </c>
      <c r="B28" s="93">
        <f t="shared" si="1"/>
        <v>40121</v>
      </c>
      <c r="C28" s="144" t="s">
        <v>229</v>
      </c>
      <c r="D28" s="144" t="s">
        <v>230</v>
      </c>
      <c r="E28" s="139" t="s">
        <v>25</v>
      </c>
      <c r="F28" s="140"/>
      <c r="G28" s="139" t="s">
        <v>65</v>
      </c>
      <c r="H28" s="140"/>
      <c r="I28" s="147" t="s">
        <v>231</v>
      </c>
      <c r="J28" s="150" t="s">
        <v>64</v>
      </c>
      <c r="K28" s="6">
        <v>120</v>
      </c>
    </row>
    <row r="29" spans="1:11" ht="15.75" customHeight="1">
      <c r="A29" s="32" t="str">
        <f t="shared" si="0"/>
        <v>DM10121</v>
      </c>
      <c r="B29" s="93">
        <f t="shared" si="1"/>
        <v>40122</v>
      </c>
      <c r="C29" s="145"/>
      <c r="D29" s="145"/>
      <c r="E29" s="139" t="s">
        <v>26</v>
      </c>
      <c r="F29" s="140"/>
      <c r="G29" s="139" t="s">
        <v>27</v>
      </c>
      <c r="H29" s="140"/>
      <c r="I29" s="148"/>
      <c r="J29" s="151"/>
      <c r="K29" s="6">
        <v>121</v>
      </c>
    </row>
    <row r="30" spans="1:11" ht="15.75" customHeight="1">
      <c r="A30" s="32" t="str">
        <f t="shared" si="0"/>
        <v>DM10122</v>
      </c>
      <c r="B30" s="93">
        <f t="shared" si="1"/>
        <v>40123</v>
      </c>
      <c r="C30" s="145"/>
      <c r="D30" s="145"/>
      <c r="E30" s="139" t="s">
        <v>28</v>
      </c>
      <c r="F30" s="140"/>
      <c r="G30" s="139" t="s">
        <v>29</v>
      </c>
      <c r="H30" s="140"/>
      <c r="I30" s="148"/>
      <c r="J30" s="151"/>
      <c r="K30" s="6">
        <v>122</v>
      </c>
    </row>
    <row r="31" spans="1:11" ht="15.75" customHeight="1">
      <c r="A31" s="32" t="str">
        <f t="shared" si="0"/>
        <v>DM10123</v>
      </c>
      <c r="B31" s="93">
        <f t="shared" si="1"/>
        <v>40124</v>
      </c>
      <c r="C31" s="145"/>
      <c r="D31" s="145"/>
      <c r="E31" s="139" t="s">
        <v>30</v>
      </c>
      <c r="F31" s="140"/>
      <c r="G31" s="139" t="s">
        <v>31</v>
      </c>
      <c r="H31" s="140"/>
      <c r="I31" s="148"/>
      <c r="J31" s="151"/>
      <c r="K31" s="6">
        <v>123</v>
      </c>
    </row>
    <row r="32" spans="1:11" ht="15.75" customHeight="1">
      <c r="A32" s="32" t="str">
        <f t="shared" si="0"/>
        <v>DM10124</v>
      </c>
      <c r="B32" s="93">
        <f t="shared" si="1"/>
        <v>40125</v>
      </c>
      <c r="C32" s="145"/>
      <c r="D32" s="145"/>
      <c r="E32" s="139" t="s">
        <v>11</v>
      </c>
      <c r="F32" s="140"/>
      <c r="G32" s="139" t="s">
        <v>12</v>
      </c>
      <c r="H32" s="140"/>
      <c r="I32" s="148"/>
      <c r="J32" s="151"/>
      <c r="K32" s="6">
        <v>124</v>
      </c>
    </row>
    <row r="33" spans="1:11" ht="15.75" customHeight="1">
      <c r="A33" s="32" t="str">
        <f t="shared" si="0"/>
        <v>DM10125</v>
      </c>
      <c r="B33" s="93">
        <f t="shared" si="1"/>
        <v>40126</v>
      </c>
      <c r="C33" s="145"/>
      <c r="D33" s="145"/>
      <c r="E33" s="139" t="s">
        <v>13</v>
      </c>
      <c r="F33" s="140"/>
      <c r="G33" s="139" t="s">
        <v>14</v>
      </c>
      <c r="H33" s="140"/>
      <c r="I33" s="148"/>
      <c r="J33" s="151"/>
      <c r="K33" s="6">
        <v>125</v>
      </c>
    </row>
    <row r="34" spans="1:11" ht="15.75" customHeight="1">
      <c r="A34" s="32" t="str">
        <f t="shared" si="0"/>
        <v>DM10126</v>
      </c>
      <c r="B34" s="93">
        <f t="shared" si="1"/>
        <v>40127</v>
      </c>
      <c r="C34" s="145"/>
      <c r="D34" s="145"/>
      <c r="E34" s="139" t="s">
        <v>16</v>
      </c>
      <c r="F34" s="140"/>
      <c r="G34" s="139" t="s">
        <v>17</v>
      </c>
      <c r="H34" s="140"/>
      <c r="I34" s="148"/>
      <c r="J34" s="151"/>
      <c r="K34" s="6">
        <v>126</v>
      </c>
    </row>
    <row r="35" spans="1:11" ht="15.75" customHeight="1">
      <c r="A35" s="32" t="str">
        <f t="shared" si="0"/>
        <v>DM10127</v>
      </c>
      <c r="B35" s="93">
        <f t="shared" si="1"/>
        <v>40128</v>
      </c>
      <c r="C35" s="145"/>
      <c r="D35" s="145"/>
      <c r="E35" s="139" t="s">
        <v>18</v>
      </c>
      <c r="F35" s="140"/>
      <c r="G35" s="139" t="s">
        <v>19</v>
      </c>
      <c r="H35" s="140"/>
      <c r="I35" s="148"/>
      <c r="J35" s="151"/>
      <c r="K35" s="6">
        <v>127</v>
      </c>
    </row>
    <row r="36" spans="1:11" ht="15.75" customHeight="1">
      <c r="A36" s="32" t="str">
        <f t="shared" si="0"/>
        <v>DM10128</v>
      </c>
      <c r="B36" s="93">
        <f t="shared" si="1"/>
        <v>40129</v>
      </c>
      <c r="C36" s="145"/>
      <c r="D36" s="145"/>
      <c r="E36" s="139" t="s">
        <v>20</v>
      </c>
      <c r="F36" s="140"/>
      <c r="G36" s="139" t="s">
        <v>21</v>
      </c>
      <c r="H36" s="140"/>
      <c r="I36" s="148"/>
      <c r="J36" s="151"/>
      <c r="K36" s="6">
        <v>128</v>
      </c>
    </row>
    <row r="37" spans="1:11" ht="15.75" customHeight="1">
      <c r="A37" s="32" t="str">
        <f t="shared" si="0"/>
        <v>DM10129</v>
      </c>
      <c r="B37" s="93">
        <f t="shared" si="1"/>
        <v>40130</v>
      </c>
      <c r="C37" s="146"/>
      <c r="D37" s="146"/>
      <c r="E37" s="139" t="s">
        <v>22</v>
      </c>
      <c r="F37" s="140"/>
      <c r="G37" s="139" t="s">
        <v>23</v>
      </c>
      <c r="H37" s="140"/>
      <c r="I37" s="149"/>
      <c r="J37" s="152"/>
      <c r="K37" s="6">
        <v>129</v>
      </c>
    </row>
    <row r="38" spans="1:11" ht="15.75" customHeight="1">
      <c r="A38" s="32" t="str">
        <f t="shared" si="0"/>
        <v>DM10130</v>
      </c>
      <c r="B38" s="93">
        <f t="shared" si="1"/>
        <v>40131</v>
      </c>
      <c r="C38" s="144" t="s">
        <v>234</v>
      </c>
      <c r="D38" s="144" t="s">
        <v>230</v>
      </c>
      <c r="E38" s="139" t="s">
        <v>25</v>
      </c>
      <c r="F38" s="140"/>
      <c r="G38" s="139" t="s">
        <v>65</v>
      </c>
      <c r="H38" s="140"/>
      <c r="I38" s="147" t="s">
        <v>235</v>
      </c>
      <c r="J38" s="150" t="s">
        <v>64</v>
      </c>
      <c r="K38" s="6">
        <v>130</v>
      </c>
    </row>
    <row r="39" spans="1:11" ht="15.75" customHeight="1">
      <c r="A39" s="32" t="str">
        <f t="shared" si="0"/>
        <v>DM10131</v>
      </c>
      <c r="B39" s="93">
        <f t="shared" si="1"/>
        <v>40132</v>
      </c>
      <c r="C39" s="145"/>
      <c r="D39" s="145"/>
      <c r="E39" s="139" t="s">
        <v>26</v>
      </c>
      <c r="F39" s="140"/>
      <c r="G39" s="139" t="s">
        <v>27</v>
      </c>
      <c r="H39" s="140"/>
      <c r="I39" s="148"/>
      <c r="J39" s="151"/>
      <c r="K39" s="6">
        <v>131</v>
      </c>
    </row>
    <row r="40" spans="1:11" ht="15.75" customHeight="1">
      <c r="A40" s="32" t="str">
        <f t="shared" si="0"/>
        <v>DM10132</v>
      </c>
      <c r="B40" s="93">
        <f t="shared" si="1"/>
        <v>40133</v>
      </c>
      <c r="C40" s="145"/>
      <c r="D40" s="145"/>
      <c r="E40" s="139" t="s">
        <v>28</v>
      </c>
      <c r="F40" s="140"/>
      <c r="G40" s="139" t="s">
        <v>29</v>
      </c>
      <c r="H40" s="140"/>
      <c r="I40" s="148"/>
      <c r="J40" s="151"/>
      <c r="K40" s="6">
        <v>132</v>
      </c>
    </row>
    <row r="41" spans="1:11" ht="15.75" customHeight="1">
      <c r="A41" s="32" t="str">
        <f t="shared" si="0"/>
        <v>DM10133</v>
      </c>
      <c r="B41" s="93">
        <f t="shared" si="1"/>
        <v>40134</v>
      </c>
      <c r="C41" s="145"/>
      <c r="D41" s="145"/>
      <c r="E41" s="139" t="s">
        <v>30</v>
      </c>
      <c r="F41" s="140"/>
      <c r="G41" s="139" t="s">
        <v>31</v>
      </c>
      <c r="H41" s="140"/>
      <c r="I41" s="148"/>
      <c r="J41" s="151"/>
      <c r="K41" s="6">
        <v>133</v>
      </c>
    </row>
    <row r="42" spans="1:11" ht="15.75" customHeight="1">
      <c r="A42" s="32" t="str">
        <f t="shared" si="0"/>
        <v>DM10134</v>
      </c>
      <c r="B42" s="93">
        <f t="shared" si="1"/>
        <v>40135</v>
      </c>
      <c r="C42" s="145"/>
      <c r="D42" s="145"/>
      <c r="E42" s="139" t="s">
        <v>11</v>
      </c>
      <c r="F42" s="140"/>
      <c r="G42" s="139" t="s">
        <v>12</v>
      </c>
      <c r="H42" s="140"/>
      <c r="I42" s="148"/>
      <c r="J42" s="151"/>
      <c r="K42" s="6">
        <v>134</v>
      </c>
    </row>
    <row r="43" spans="1:11" ht="15.75" customHeight="1">
      <c r="A43" s="32" t="str">
        <f t="shared" si="0"/>
        <v>DM10135</v>
      </c>
      <c r="B43" s="93">
        <f t="shared" si="1"/>
        <v>40136</v>
      </c>
      <c r="C43" s="145"/>
      <c r="D43" s="145"/>
      <c r="E43" s="139" t="s">
        <v>13</v>
      </c>
      <c r="F43" s="140"/>
      <c r="G43" s="139" t="s">
        <v>14</v>
      </c>
      <c r="H43" s="140"/>
      <c r="I43" s="148"/>
      <c r="J43" s="151"/>
      <c r="K43" s="6">
        <v>135</v>
      </c>
    </row>
    <row r="44" spans="1:11" ht="15.75" customHeight="1">
      <c r="A44" s="32" t="str">
        <f t="shared" si="0"/>
        <v>DM10136</v>
      </c>
      <c r="B44" s="93">
        <f t="shared" si="1"/>
        <v>40137</v>
      </c>
      <c r="C44" s="145"/>
      <c r="D44" s="145"/>
      <c r="E44" s="139" t="s">
        <v>16</v>
      </c>
      <c r="F44" s="140"/>
      <c r="G44" s="139" t="s">
        <v>17</v>
      </c>
      <c r="H44" s="140"/>
      <c r="I44" s="148"/>
      <c r="J44" s="151"/>
      <c r="K44" s="6">
        <v>136</v>
      </c>
    </row>
    <row r="45" spans="1:11" ht="15.75" customHeight="1">
      <c r="A45" s="32" t="str">
        <f t="shared" si="0"/>
        <v>DM10137</v>
      </c>
      <c r="B45" s="93">
        <f t="shared" si="1"/>
        <v>40138</v>
      </c>
      <c r="C45" s="145"/>
      <c r="D45" s="145"/>
      <c r="E45" s="139" t="s">
        <v>18</v>
      </c>
      <c r="F45" s="140"/>
      <c r="G45" s="139" t="s">
        <v>19</v>
      </c>
      <c r="H45" s="140"/>
      <c r="I45" s="148"/>
      <c r="J45" s="151"/>
      <c r="K45" s="6">
        <v>137</v>
      </c>
    </row>
    <row r="46" spans="1:11" ht="15.75" customHeight="1">
      <c r="A46" s="32" t="str">
        <f t="shared" si="0"/>
        <v>DM10138</v>
      </c>
      <c r="B46" s="93">
        <f t="shared" si="1"/>
        <v>40139</v>
      </c>
      <c r="C46" s="145"/>
      <c r="D46" s="145"/>
      <c r="E46" s="139" t="s">
        <v>20</v>
      </c>
      <c r="F46" s="140"/>
      <c r="G46" s="139" t="s">
        <v>21</v>
      </c>
      <c r="H46" s="140"/>
      <c r="I46" s="148"/>
      <c r="J46" s="151"/>
      <c r="K46" s="6">
        <v>138</v>
      </c>
    </row>
    <row r="47" spans="1:11" ht="15.75" customHeight="1">
      <c r="A47" s="32" t="str">
        <f t="shared" si="0"/>
        <v>DM10139</v>
      </c>
      <c r="B47" s="93">
        <f t="shared" si="1"/>
        <v>40140</v>
      </c>
      <c r="C47" s="146"/>
      <c r="D47" s="146"/>
      <c r="E47" s="139" t="s">
        <v>22</v>
      </c>
      <c r="F47" s="140"/>
      <c r="G47" s="139" t="s">
        <v>23</v>
      </c>
      <c r="H47" s="140"/>
      <c r="I47" s="149"/>
      <c r="J47" s="152"/>
      <c r="K47" s="6">
        <v>139</v>
      </c>
    </row>
    <row r="48" spans="1:11" ht="15.75" customHeight="1">
      <c r="A48" s="32" t="str">
        <f t="shared" si="0"/>
        <v>DM10140</v>
      </c>
      <c r="B48" s="93">
        <f t="shared" si="1"/>
        <v>40141</v>
      </c>
      <c r="C48" s="144" t="s">
        <v>236</v>
      </c>
      <c r="D48" s="144" t="s">
        <v>230</v>
      </c>
      <c r="E48" s="139" t="s">
        <v>25</v>
      </c>
      <c r="F48" s="140"/>
      <c r="G48" s="139" t="s">
        <v>65</v>
      </c>
      <c r="H48" s="140"/>
      <c r="I48" s="147" t="s">
        <v>237</v>
      </c>
      <c r="J48" s="150" t="s">
        <v>64</v>
      </c>
      <c r="K48" s="6">
        <v>140</v>
      </c>
    </row>
    <row r="49" spans="1:11" ht="15.75" customHeight="1">
      <c r="A49" s="32" t="str">
        <f t="shared" si="0"/>
        <v>DM10141</v>
      </c>
      <c r="B49" s="93">
        <f t="shared" si="1"/>
        <v>40142</v>
      </c>
      <c r="C49" s="145"/>
      <c r="D49" s="145"/>
      <c r="E49" s="139" t="s">
        <v>26</v>
      </c>
      <c r="F49" s="140"/>
      <c r="G49" s="139" t="s">
        <v>27</v>
      </c>
      <c r="H49" s="140"/>
      <c r="I49" s="148"/>
      <c r="J49" s="151"/>
      <c r="K49" s="6">
        <v>141</v>
      </c>
    </row>
    <row r="50" spans="1:11" ht="15.75" customHeight="1">
      <c r="A50" s="32" t="str">
        <f t="shared" si="0"/>
        <v>DM10142</v>
      </c>
      <c r="B50" s="93">
        <f t="shared" si="1"/>
        <v>40143</v>
      </c>
      <c r="C50" s="145"/>
      <c r="D50" s="145"/>
      <c r="E50" s="139" t="s">
        <v>28</v>
      </c>
      <c r="F50" s="140"/>
      <c r="G50" s="139" t="s">
        <v>29</v>
      </c>
      <c r="H50" s="140"/>
      <c r="I50" s="148"/>
      <c r="J50" s="151"/>
      <c r="K50" s="6">
        <v>142</v>
      </c>
    </row>
    <row r="51" spans="1:11" ht="15.75" customHeight="1">
      <c r="A51" s="32" t="str">
        <f t="shared" si="0"/>
        <v>DM10143</v>
      </c>
      <c r="B51" s="93">
        <f t="shared" si="1"/>
        <v>40144</v>
      </c>
      <c r="C51" s="145"/>
      <c r="D51" s="145"/>
      <c r="E51" s="139" t="s">
        <v>30</v>
      </c>
      <c r="F51" s="140"/>
      <c r="G51" s="139" t="s">
        <v>31</v>
      </c>
      <c r="H51" s="140"/>
      <c r="I51" s="148"/>
      <c r="J51" s="151"/>
      <c r="K51" s="6">
        <v>143</v>
      </c>
    </row>
    <row r="52" spans="1:11" ht="15.75" customHeight="1">
      <c r="A52" s="32" t="str">
        <f t="shared" si="0"/>
        <v>DM10144</v>
      </c>
      <c r="B52" s="93">
        <f t="shared" si="1"/>
        <v>40145</v>
      </c>
      <c r="C52" s="145"/>
      <c r="D52" s="145"/>
      <c r="E52" s="139" t="s">
        <v>11</v>
      </c>
      <c r="F52" s="140"/>
      <c r="G52" s="139" t="s">
        <v>12</v>
      </c>
      <c r="H52" s="140"/>
      <c r="I52" s="148"/>
      <c r="J52" s="151"/>
      <c r="K52" s="6">
        <v>144</v>
      </c>
    </row>
    <row r="53" spans="1:11" ht="15.75" customHeight="1">
      <c r="A53" s="32" t="str">
        <f t="shared" si="0"/>
        <v>DM10145</v>
      </c>
      <c r="B53" s="93">
        <f t="shared" si="1"/>
        <v>40146</v>
      </c>
      <c r="C53" s="145"/>
      <c r="D53" s="145"/>
      <c r="E53" s="139" t="s">
        <v>13</v>
      </c>
      <c r="F53" s="140"/>
      <c r="G53" s="139" t="s">
        <v>14</v>
      </c>
      <c r="H53" s="140"/>
      <c r="I53" s="148"/>
      <c r="J53" s="151"/>
      <c r="K53" s="6">
        <v>145</v>
      </c>
    </row>
    <row r="54" spans="1:11" ht="15.75" customHeight="1">
      <c r="A54" s="32" t="str">
        <f t="shared" si="0"/>
        <v>DM10146</v>
      </c>
      <c r="B54" s="93">
        <f t="shared" si="1"/>
        <v>40147</v>
      </c>
      <c r="C54" s="145"/>
      <c r="D54" s="145"/>
      <c r="E54" s="139" t="s">
        <v>16</v>
      </c>
      <c r="F54" s="140"/>
      <c r="G54" s="139" t="s">
        <v>17</v>
      </c>
      <c r="H54" s="140"/>
      <c r="I54" s="148"/>
      <c r="J54" s="151"/>
      <c r="K54" s="6">
        <v>146</v>
      </c>
    </row>
    <row r="55" spans="1:11" ht="15.75" customHeight="1">
      <c r="A55" s="32" t="str">
        <f t="shared" si="0"/>
        <v>DM10147</v>
      </c>
      <c r="B55" s="93">
        <f t="shared" si="1"/>
        <v>40148</v>
      </c>
      <c r="C55" s="145"/>
      <c r="D55" s="145"/>
      <c r="E55" s="139" t="s">
        <v>18</v>
      </c>
      <c r="F55" s="140"/>
      <c r="G55" s="139" t="s">
        <v>19</v>
      </c>
      <c r="H55" s="140"/>
      <c r="I55" s="148"/>
      <c r="J55" s="151"/>
      <c r="K55" s="6">
        <v>147</v>
      </c>
    </row>
    <row r="56" spans="1:11" ht="15.75" customHeight="1">
      <c r="A56" s="32" t="str">
        <f t="shared" si="0"/>
        <v>DM10148</v>
      </c>
      <c r="B56" s="93">
        <f t="shared" si="1"/>
        <v>40149</v>
      </c>
      <c r="C56" s="145"/>
      <c r="D56" s="145"/>
      <c r="E56" s="139" t="s">
        <v>20</v>
      </c>
      <c r="F56" s="140"/>
      <c r="G56" s="139" t="s">
        <v>21</v>
      </c>
      <c r="H56" s="140"/>
      <c r="I56" s="148"/>
      <c r="J56" s="151"/>
      <c r="K56" s="6">
        <v>148</v>
      </c>
    </row>
    <row r="57" spans="1:11" ht="15.75" customHeight="1">
      <c r="A57" s="32" t="str">
        <f t="shared" si="0"/>
        <v>DM10149</v>
      </c>
      <c r="B57" s="93">
        <f t="shared" si="1"/>
        <v>40150</v>
      </c>
      <c r="C57" s="146"/>
      <c r="D57" s="146"/>
      <c r="E57" s="139" t="s">
        <v>22</v>
      </c>
      <c r="F57" s="140"/>
      <c r="G57" s="139" t="s">
        <v>23</v>
      </c>
      <c r="H57" s="140"/>
      <c r="I57" s="149"/>
      <c r="J57" s="152"/>
      <c r="K57" s="6">
        <v>149</v>
      </c>
    </row>
    <row r="58" spans="1:11" ht="15" customHeight="1">
      <c r="A58" s="32" t="str">
        <f t="shared" ref="A58:A121" si="2">LEFT($D$3, 2) &amp; (MID($D$3, 3, LEN($D$3)) + K58)</f>
        <v>DM10150</v>
      </c>
      <c r="B58" s="93">
        <f t="shared" ref="B58:B121" si="3">$D$4+K58</f>
        <v>40151</v>
      </c>
      <c r="C58" s="144" t="s">
        <v>238</v>
      </c>
      <c r="D58" s="144" t="s">
        <v>230</v>
      </c>
      <c r="E58" s="139" t="s">
        <v>25</v>
      </c>
      <c r="F58" s="140"/>
      <c r="G58" s="139" t="s">
        <v>65</v>
      </c>
      <c r="H58" s="140"/>
      <c r="I58" s="147" t="s">
        <v>239</v>
      </c>
      <c r="J58" s="150" t="s">
        <v>64</v>
      </c>
      <c r="K58" s="6">
        <v>150</v>
      </c>
    </row>
    <row r="59" spans="1:11" ht="15" customHeight="1">
      <c r="A59" s="32" t="str">
        <f t="shared" si="2"/>
        <v>DM10151</v>
      </c>
      <c r="B59" s="93">
        <f t="shared" si="3"/>
        <v>40152</v>
      </c>
      <c r="C59" s="145"/>
      <c r="D59" s="145"/>
      <c r="E59" s="139" t="s">
        <v>26</v>
      </c>
      <c r="F59" s="140"/>
      <c r="G59" s="139" t="s">
        <v>27</v>
      </c>
      <c r="H59" s="140"/>
      <c r="I59" s="148"/>
      <c r="J59" s="151"/>
      <c r="K59" s="6">
        <v>151</v>
      </c>
    </row>
    <row r="60" spans="1:11" ht="15" customHeight="1">
      <c r="A60" s="32" t="str">
        <f t="shared" si="2"/>
        <v>DM10152</v>
      </c>
      <c r="B60" s="93">
        <f t="shared" si="3"/>
        <v>40153</v>
      </c>
      <c r="C60" s="145"/>
      <c r="D60" s="145"/>
      <c r="E60" s="139" t="s">
        <v>28</v>
      </c>
      <c r="F60" s="140"/>
      <c r="G60" s="139" t="s">
        <v>29</v>
      </c>
      <c r="H60" s="140"/>
      <c r="I60" s="148"/>
      <c r="J60" s="151"/>
      <c r="K60" s="6">
        <v>152</v>
      </c>
    </row>
    <row r="61" spans="1:11" ht="15" customHeight="1">
      <c r="A61" s="32" t="str">
        <f t="shared" si="2"/>
        <v>DM10153</v>
      </c>
      <c r="B61" s="93">
        <f t="shared" si="3"/>
        <v>40154</v>
      </c>
      <c r="C61" s="145"/>
      <c r="D61" s="145"/>
      <c r="E61" s="139" t="s">
        <v>30</v>
      </c>
      <c r="F61" s="140"/>
      <c r="G61" s="139" t="s">
        <v>31</v>
      </c>
      <c r="H61" s="140"/>
      <c r="I61" s="148"/>
      <c r="J61" s="151"/>
      <c r="K61" s="6">
        <v>153</v>
      </c>
    </row>
    <row r="62" spans="1:11" ht="15" customHeight="1">
      <c r="A62" s="32" t="str">
        <f t="shared" si="2"/>
        <v>DM10154</v>
      </c>
      <c r="B62" s="93">
        <f t="shared" si="3"/>
        <v>40155</v>
      </c>
      <c r="C62" s="145"/>
      <c r="D62" s="145"/>
      <c r="E62" s="139" t="s">
        <v>11</v>
      </c>
      <c r="F62" s="140"/>
      <c r="G62" s="139" t="s">
        <v>12</v>
      </c>
      <c r="H62" s="140"/>
      <c r="I62" s="148"/>
      <c r="J62" s="151"/>
      <c r="K62" s="6">
        <v>154</v>
      </c>
    </row>
    <row r="63" spans="1:11" ht="15" customHeight="1">
      <c r="A63" s="32" t="str">
        <f t="shared" si="2"/>
        <v>DM10155</v>
      </c>
      <c r="B63" s="93">
        <f t="shared" si="3"/>
        <v>40156</v>
      </c>
      <c r="C63" s="145"/>
      <c r="D63" s="145"/>
      <c r="E63" s="139" t="s">
        <v>13</v>
      </c>
      <c r="F63" s="140"/>
      <c r="G63" s="139" t="s">
        <v>14</v>
      </c>
      <c r="H63" s="140"/>
      <c r="I63" s="148"/>
      <c r="J63" s="151"/>
      <c r="K63" s="6">
        <v>155</v>
      </c>
    </row>
    <row r="64" spans="1:11" ht="15" customHeight="1">
      <c r="A64" s="32" t="str">
        <f t="shared" si="2"/>
        <v>DM10156</v>
      </c>
      <c r="B64" s="93">
        <f t="shared" si="3"/>
        <v>40157</v>
      </c>
      <c r="C64" s="145"/>
      <c r="D64" s="145"/>
      <c r="E64" s="139" t="s">
        <v>16</v>
      </c>
      <c r="F64" s="140"/>
      <c r="G64" s="139" t="s">
        <v>17</v>
      </c>
      <c r="H64" s="140"/>
      <c r="I64" s="148"/>
      <c r="J64" s="151"/>
      <c r="K64" s="6">
        <v>156</v>
      </c>
    </row>
    <row r="65" spans="1:11" ht="15" customHeight="1">
      <c r="A65" s="32" t="str">
        <f t="shared" si="2"/>
        <v>DM10157</v>
      </c>
      <c r="B65" s="93">
        <f t="shared" si="3"/>
        <v>40158</v>
      </c>
      <c r="C65" s="145"/>
      <c r="D65" s="145"/>
      <c r="E65" s="139" t="s">
        <v>18</v>
      </c>
      <c r="F65" s="140"/>
      <c r="G65" s="139" t="s">
        <v>19</v>
      </c>
      <c r="H65" s="140"/>
      <c r="I65" s="148"/>
      <c r="J65" s="151"/>
      <c r="K65" s="6">
        <v>157</v>
      </c>
    </row>
    <row r="66" spans="1:11" ht="15" customHeight="1">
      <c r="A66" s="32" t="str">
        <f t="shared" si="2"/>
        <v>DM10158</v>
      </c>
      <c r="B66" s="93">
        <f t="shared" si="3"/>
        <v>40159</v>
      </c>
      <c r="C66" s="145"/>
      <c r="D66" s="145"/>
      <c r="E66" s="139" t="s">
        <v>20</v>
      </c>
      <c r="F66" s="140"/>
      <c r="G66" s="139" t="s">
        <v>21</v>
      </c>
      <c r="H66" s="140"/>
      <c r="I66" s="148"/>
      <c r="J66" s="151"/>
      <c r="K66" s="6">
        <v>158</v>
      </c>
    </row>
    <row r="67" spans="1:11" ht="15" customHeight="1">
      <c r="A67" s="32" t="str">
        <f t="shared" si="2"/>
        <v>DM10159</v>
      </c>
      <c r="B67" s="93">
        <f t="shared" si="3"/>
        <v>40160</v>
      </c>
      <c r="C67" s="146"/>
      <c r="D67" s="146"/>
      <c r="E67" s="139" t="s">
        <v>22</v>
      </c>
      <c r="F67" s="140"/>
      <c r="G67" s="139" t="s">
        <v>23</v>
      </c>
      <c r="H67" s="140"/>
      <c r="I67" s="149"/>
      <c r="J67" s="152"/>
      <c r="K67" s="6">
        <v>159</v>
      </c>
    </row>
    <row r="68" spans="1:11" ht="15" customHeight="1">
      <c r="A68" s="32" t="str">
        <f t="shared" si="2"/>
        <v>DM10160</v>
      </c>
      <c r="B68" s="93">
        <f t="shared" si="3"/>
        <v>40161</v>
      </c>
      <c r="C68" s="144" t="s">
        <v>240</v>
      </c>
      <c r="D68" s="144" t="s">
        <v>230</v>
      </c>
      <c r="E68" s="139" t="s">
        <v>25</v>
      </c>
      <c r="F68" s="140"/>
      <c r="G68" s="139" t="s">
        <v>65</v>
      </c>
      <c r="H68" s="140"/>
      <c r="I68" s="147" t="s">
        <v>241</v>
      </c>
      <c r="J68" s="150" t="s">
        <v>64</v>
      </c>
      <c r="K68" s="6">
        <v>160</v>
      </c>
    </row>
    <row r="69" spans="1:11" ht="15" customHeight="1">
      <c r="A69" s="32" t="str">
        <f t="shared" si="2"/>
        <v>DM10161</v>
      </c>
      <c r="B69" s="93">
        <f t="shared" si="3"/>
        <v>40162</v>
      </c>
      <c r="C69" s="145"/>
      <c r="D69" s="145"/>
      <c r="E69" s="139" t="s">
        <v>26</v>
      </c>
      <c r="F69" s="140"/>
      <c r="G69" s="139" t="s">
        <v>27</v>
      </c>
      <c r="H69" s="140"/>
      <c r="I69" s="148"/>
      <c r="J69" s="151"/>
      <c r="K69" s="6">
        <v>161</v>
      </c>
    </row>
    <row r="70" spans="1:11" ht="15" customHeight="1">
      <c r="A70" s="32" t="str">
        <f t="shared" si="2"/>
        <v>DM10162</v>
      </c>
      <c r="B70" s="93">
        <f t="shared" si="3"/>
        <v>40163</v>
      </c>
      <c r="C70" s="145"/>
      <c r="D70" s="145"/>
      <c r="E70" s="139" t="s">
        <v>28</v>
      </c>
      <c r="F70" s="140"/>
      <c r="G70" s="139" t="s">
        <v>29</v>
      </c>
      <c r="H70" s="140"/>
      <c r="I70" s="148"/>
      <c r="J70" s="151"/>
      <c r="K70" s="6">
        <v>162</v>
      </c>
    </row>
    <row r="71" spans="1:11" ht="15" customHeight="1">
      <c r="A71" s="32" t="str">
        <f t="shared" si="2"/>
        <v>DM10163</v>
      </c>
      <c r="B71" s="93">
        <f t="shared" si="3"/>
        <v>40164</v>
      </c>
      <c r="C71" s="145"/>
      <c r="D71" s="145"/>
      <c r="E71" s="139" t="s">
        <v>30</v>
      </c>
      <c r="F71" s="140"/>
      <c r="G71" s="139" t="s">
        <v>31</v>
      </c>
      <c r="H71" s="140"/>
      <c r="I71" s="148"/>
      <c r="J71" s="151"/>
      <c r="K71" s="6">
        <v>163</v>
      </c>
    </row>
    <row r="72" spans="1:11" ht="15" customHeight="1">
      <c r="A72" s="32" t="str">
        <f t="shared" si="2"/>
        <v>DM10164</v>
      </c>
      <c r="B72" s="93">
        <f t="shared" si="3"/>
        <v>40165</v>
      </c>
      <c r="C72" s="145"/>
      <c r="D72" s="145"/>
      <c r="E72" s="139" t="s">
        <v>11</v>
      </c>
      <c r="F72" s="140"/>
      <c r="G72" s="139" t="s">
        <v>12</v>
      </c>
      <c r="H72" s="140"/>
      <c r="I72" s="148"/>
      <c r="J72" s="151"/>
      <c r="K72" s="6">
        <v>164</v>
      </c>
    </row>
    <row r="73" spans="1:11" ht="15" customHeight="1">
      <c r="A73" s="32" t="str">
        <f t="shared" si="2"/>
        <v>DM10165</v>
      </c>
      <c r="B73" s="93">
        <f t="shared" si="3"/>
        <v>40166</v>
      </c>
      <c r="C73" s="145"/>
      <c r="D73" s="145"/>
      <c r="E73" s="139" t="s">
        <v>13</v>
      </c>
      <c r="F73" s="140"/>
      <c r="G73" s="139" t="s">
        <v>14</v>
      </c>
      <c r="H73" s="140"/>
      <c r="I73" s="148"/>
      <c r="J73" s="151"/>
      <c r="K73" s="6">
        <v>165</v>
      </c>
    </row>
    <row r="74" spans="1:11" ht="15" customHeight="1">
      <c r="A74" s="32" t="str">
        <f t="shared" si="2"/>
        <v>DM10166</v>
      </c>
      <c r="B74" s="93">
        <f t="shared" si="3"/>
        <v>40167</v>
      </c>
      <c r="C74" s="145"/>
      <c r="D74" s="145"/>
      <c r="E74" s="139" t="s">
        <v>16</v>
      </c>
      <c r="F74" s="140"/>
      <c r="G74" s="139" t="s">
        <v>17</v>
      </c>
      <c r="H74" s="140"/>
      <c r="I74" s="148"/>
      <c r="J74" s="151"/>
      <c r="K74" s="6">
        <v>166</v>
      </c>
    </row>
    <row r="75" spans="1:11" ht="15" customHeight="1">
      <c r="A75" s="32" t="str">
        <f t="shared" si="2"/>
        <v>DM10167</v>
      </c>
      <c r="B75" s="93">
        <f t="shared" si="3"/>
        <v>40168</v>
      </c>
      <c r="C75" s="145"/>
      <c r="D75" s="145"/>
      <c r="E75" s="139" t="s">
        <v>18</v>
      </c>
      <c r="F75" s="140"/>
      <c r="G75" s="139" t="s">
        <v>19</v>
      </c>
      <c r="H75" s="140"/>
      <c r="I75" s="148"/>
      <c r="J75" s="151"/>
      <c r="K75" s="6">
        <v>167</v>
      </c>
    </row>
    <row r="76" spans="1:11" ht="15" customHeight="1">
      <c r="A76" s="32" t="str">
        <f t="shared" si="2"/>
        <v>DM10168</v>
      </c>
      <c r="B76" s="93">
        <f t="shared" si="3"/>
        <v>40169</v>
      </c>
      <c r="C76" s="145"/>
      <c r="D76" s="145"/>
      <c r="E76" s="139" t="s">
        <v>20</v>
      </c>
      <c r="F76" s="140"/>
      <c r="G76" s="139" t="s">
        <v>21</v>
      </c>
      <c r="H76" s="140"/>
      <c r="I76" s="148"/>
      <c r="J76" s="151"/>
      <c r="K76" s="6">
        <v>168</v>
      </c>
    </row>
    <row r="77" spans="1:11" ht="15" customHeight="1">
      <c r="A77" s="32" t="str">
        <f t="shared" si="2"/>
        <v>DM10169</v>
      </c>
      <c r="B77" s="93">
        <f t="shared" si="3"/>
        <v>40170</v>
      </c>
      <c r="C77" s="146"/>
      <c r="D77" s="146"/>
      <c r="E77" s="139" t="s">
        <v>22</v>
      </c>
      <c r="F77" s="140"/>
      <c r="G77" s="139" t="s">
        <v>23</v>
      </c>
      <c r="H77" s="140"/>
      <c r="I77" s="149"/>
      <c r="J77" s="152"/>
      <c r="K77" s="6">
        <v>169</v>
      </c>
    </row>
    <row r="78" spans="1:11" ht="15" customHeight="1">
      <c r="A78" s="32" t="str">
        <f t="shared" si="2"/>
        <v>DM10170</v>
      </c>
      <c r="B78" s="93">
        <f t="shared" si="3"/>
        <v>40171</v>
      </c>
      <c r="C78" s="144" t="s">
        <v>242</v>
      </c>
      <c r="D78" s="144" t="s">
        <v>230</v>
      </c>
      <c r="E78" s="139" t="s">
        <v>25</v>
      </c>
      <c r="F78" s="140"/>
      <c r="G78" s="139" t="s">
        <v>65</v>
      </c>
      <c r="H78" s="140"/>
      <c r="I78" s="147" t="s">
        <v>243</v>
      </c>
      <c r="J78" s="150" t="s">
        <v>64</v>
      </c>
      <c r="K78" s="6">
        <v>170</v>
      </c>
    </row>
    <row r="79" spans="1:11" ht="15" customHeight="1">
      <c r="A79" s="32" t="str">
        <f t="shared" si="2"/>
        <v>DM10171</v>
      </c>
      <c r="B79" s="93">
        <f t="shared" si="3"/>
        <v>40172</v>
      </c>
      <c r="C79" s="145"/>
      <c r="D79" s="145"/>
      <c r="E79" s="139" t="s">
        <v>26</v>
      </c>
      <c r="F79" s="140"/>
      <c r="G79" s="139" t="s">
        <v>27</v>
      </c>
      <c r="H79" s="140"/>
      <c r="I79" s="148"/>
      <c r="J79" s="151"/>
      <c r="K79" s="6">
        <v>171</v>
      </c>
    </row>
    <row r="80" spans="1:11" ht="15" customHeight="1">
      <c r="A80" s="32" t="str">
        <f t="shared" si="2"/>
        <v>DM10172</v>
      </c>
      <c r="B80" s="93">
        <f t="shared" si="3"/>
        <v>40173</v>
      </c>
      <c r="C80" s="145"/>
      <c r="D80" s="145"/>
      <c r="E80" s="139" t="s">
        <v>28</v>
      </c>
      <c r="F80" s="140"/>
      <c r="G80" s="139" t="s">
        <v>29</v>
      </c>
      <c r="H80" s="140"/>
      <c r="I80" s="148"/>
      <c r="J80" s="151"/>
      <c r="K80" s="6">
        <v>172</v>
      </c>
    </row>
    <row r="81" spans="1:11" ht="15" customHeight="1">
      <c r="A81" s="32" t="str">
        <f t="shared" si="2"/>
        <v>DM10173</v>
      </c>
      <c r="B81" s="93">
        <f t="shared" si="3"/>
        <v>40174</v>
      </c>
      <c r="C81" s="145"/>
      <c r="D81" s="145"/>
      <c r="E81" s="139" t="s">
        <v>30</v>
      </c>
      <c r="F81" s="140"/>
      <c r="G81" s="139" t="s">
        <v>31</v>
      </c>
      <c r="H81" s="140"/>
      <c r="I81" s="148"/>
      <c r="J81" s="151"/>
      <c r="K81" s="6">
        <v>173</v>
      </c>
    </row>
    <row r="82" spans="1:11" ht="15" customHeight="1">
      <c r="A82" s="32" t="str">
        <f t="shared" si="2"/>
        <v>DM10174</v>
      </c>
      <c r="B82" s="93">
        <f t="shared" si="3"/>
        <v>40175</v>
      </c>
      <c r="C82" s="145"/>
      <c r="D82" s="145"/>
      <c r="E82" s="139" t="s">
        <v>11</v>
      </c>
      <c r="F82" s="140"/>
      <c r="G82" s="139" t="s">
        <v>12</v>
      </c>
      <c r="H82" s="140"/>
      <c r="I82" s="148"/>
      <c r="J82" s="151"/>
      <c r="K82" s="6">
        <v>174</v>
      </c>
    </row>
    <row r="83" spans="1:11" ht="15" customHeight="1">
      <c r="A83" s="32" t="str">
        <f t="shared" si="2"/>
        <v>DM10175</v>
      </c>
      <c r="B83" s="93">
        <f t="shared" si="3"/>
        <v>40176</v>
      </c>
      <c r="C83" s="145"/>
      <c r="D83" s="145"/>
      <c r="E83" s="139" t="s">
        <v>13</v>
      </c>
      <c r="F83" s="140"/>
      <c r="G83" s="139" t="s">
        <v>14</v>
      </c>
      <c r="H83" s="140"/>
      <c r="I83" s="148"/>
      <c r="J83" s="151"/>
      <c r="K83" s="6">
        <v>175</v>
      </c>
    </row>
    <row r="84" spans="1:11" ht="15" customHeight="1">
      <c r="A84" s="32" t="str">
        <f t="shared" si="2"/>
        <v>DM10176</v>
      </c>
      <c r="B84" s="93">
        <f t="shared" si="3"/>
        <v>40177</v>
      </c>
      <c r="C84" s="145"/>
      <c r="D84" s="145"/>
      <c r="E84" s="139" t="s">
        <v>16</v>
      </c>
      <c r="F84" s="140"/>
      <c r="G84" s="139" t="s">
        <v>17</v>
      </c>
      <c r="H84" s="140"/>
      <c r="I84" s="148"/>
      <c r="J84" s="151"/>
      <c r="K84" s="6">
        <v>176</v>
      </c>
    </row>
    <row r="85" spans="1:11" ht="15" customHeight="1">
      <c r="A85" s="32" t="str">
        <f t="shared" si="2"/>
        <v>DM10177</v>
      </c>
      <c r="B85" s="93">
        <f t="shared" si="3"/>
        <v>40178</v>
      </c>
      <c r="C85" s="145"/>
      <c r="D85" s="145"/>
      <c r="E85" s="139" t="s">
        <v>18</v>
      </c>
      <c r="F85" s="140"/>
      <c r="G85" s="139" t="s">
        <v>19</v>
      </c>
      <c r="H85" s="140"/>
      <c r="I85" s="148"/>
      <c r="J85" s="151"/>
      <c r="K85" s="6">
        <v>177</v>
      </c>
    </row>
    <row r="86" spans="1:11" ht="15" customHeight="1">
      <c r="A86" s="32" t="str">
        <f t="shared" si="2"/>
        <v>DM10178</v>
      </c>
      <c r="B86" s="93">
        <f t="shared" si="3"/>
        <v>40179</v>
      </c>
      <c r="C86" s="145"/>
      <c r="D86" s="145"/>
      <c r="E86" s="139" t="s">
        <v>20</v>
      </c>
      <c r="F86" s="140"/>
      <c r="G86" s="139" t="s">
        <v>21</v>
      </c>
      <c r="H86" s="140"/>
      <c r="I86" s="148"/>
      <c r="J86" s="151"/>
      <c r="K86" s="6">
        <v>178</v>
      </c>
    </row>
    <row r="87" spans="1:11" ht="15" customHeight="1">
      <c r="A87" s="32" t="str">
        <f t="shared" si="2"/>
        <v>DM10179</v>
      </c>
      <c r="B87" s="93">
        <f t="shared" si="3"/>
        <v>40180</v>
      </c>
      <c r="C87" s="146"/>
      <c r="D87" s="146"/>
      <c r="E87" s="139" t="s">
        <v>22</v>
      </c>
      <c r="F87" s="140"/>
      <c r="G87" s="139" t="s">
        <v>23</v>
      </c>
      <c r="H87" s="140"/>
      <c r="I87" s="149"/>
      <c r="J87" s="152"/>
      <c r="K87" s="6">
        <v>179</v>
      </c>
    </row>
    <row r="88" spans="1:11" ht="15" customHeight="1">
      <c r="A88" s="32" t="str">
        <f t="shared" si="2"/>
        <v>DM10180</v>
      </c>
      <c r="B88" s="93">
        <f t="shared" si="3"/>
        <v>40181</v>
      </c>
      <c r="C88" s="144" t="s">
        <v>244</v>
      </c>
      <c r="D88" s="144" t="s">
        <v>230</v>
      </c>
      <c r="E88" s="139" t="s">
        <v>25</v>
      </c>
      <c r="F88" s="140"/>
      <c r="G88" s="139" t="s">
        <v>65</v>
      </c>
      <c r="H88" s="140"/>
      <c r="I88" s="147" t="s">
        <v>245</v>
      </c>
      <c r="J88" s="150" t="s">
        <v>64</v>
      </c>
      <c r="K88" s="6">
        <v>180</v>
      </c>
    </row>
    <row r="89" spans="1:11" ht="15" customHeight="1">
      <c r="A89" s="32" t="str">
        <f t="shared" si="2"/>
        <v>DM10181</v>
      </c>
      <c r="B89" s="93">
        <f t="shared" si="3"/>
        <v>40182</v>
      </c>
      <c r="C89" s="145"/>
      <c r="D89" s="145"/>
      <c r="E89" s="139" t="s">
        <v>26</v>
      </c>
      <c r="F89" s="140"/>
      <c r="G89" s="139" t="s">
        <v>27</v>
      </c>
      <c r="H89" s="140"/>
      <c r="I89" s="148"/>
      <c r="J89" s="151"/>
      <c r="K89" s="6">
        <v>181</v>
      </c>
    </row>
    <row r="90" spans="1:11" ht="15" customHeight="1">
      <c r="A90" s="32" t="str">
        <f t="shared" si="2"/>
        <v>DM10182</v>
      </c>
      <c r="B90" s="93">
        <f t="shared" si="3"/>
        <v>40183</v>
      </c>
      <c r="C90" s="145"/>
      <c r="D90" s="145"/>
      <c r="E90" s="139" t="s">
        <v>28</v>
      </c>
      <c r="F90" s="140"/>
      <c r="G90" s="139" t="s">
        <v>29</v>
      </c>
      <c r="H90" s="140"/>
      <c r="I90" s="148"/>
      <c r="J90" s="151"/>
      <c r="K90" s="6">
        <v>182</v>
      </c>
    </row>
    <row r="91" spans="1:11" ht="15" customHeight="1">
      <c r="A91" s="32" t="str">
        <f t="shared" si="2"/>
        <v>DM10183</v>
      </c>
      <c r="B91" s="93">
        <f t="shared" si="3"/>
        <v>40184</v>
      </c>
      <c r="C91" s="145"/>
      <c r="D91" s="145"/>
      <c r="E91" s="139" t="s">
        <v>30</v>
      </c>
      <c r="F91" s="140"/>
      <c r="G91" s="139" t="s">
        <v>31</v>
      </c>
      <c r="H91" s="140"/>
      <c r="I91" s="148"/>
      <c r="J91" s="151"/>
      <c r="K91" s="6">
        <v>183</v>
      </c>
    </row>
    <row r="92" spans="1:11" ht="15" customHeight="1">
      <c r="A92" s="32" t="str">
        <f t="shared" si="2"/>
        <v>DM10184</v>
      </c>
      <c r="B92" s="93">
        <f t="shared" si="3"/>
        <v>40185</v>
      </c>
      <c r="C92" s="145"/>
      <c r="D92" s="145"/>
      <c r="E92" s="139" t="s">
        <v>11</v>
      </c>
      <c r="F92" s="140"/>
      <c r="G92" s="139" t="s">
        <v>12</v>
      </c>
      <c r="H92" s="140"/>
      <c r="I92" s="148"/>
      <c r="J92" s="151"/>
      <c r="K92" s="6">
        <v>184</v>
      </c>
    </row>
    <row r="93" spans="1:11" ht="15" customHeight="1">
      <c r="A93" s="32" t="str">
        <f t="shared" si="2"/>
        <v>DM10185</v>
      </c>
      <c r="B93" s="93">
        <f t="shared" si="3"/>
        <v>40186</v>
      </c>
      <c r="C93" s="145"/>
      <c r="D93" s="145"/>
      <c r="E93" s="139" t="s">
        <v>13</v>
      </c>
      <c r="F93" s="140"/>
      <c r="G93" s="139" t="s">
        <v>14</v>
      </c>
      <c r="H93" s="140"/>
      <c r="I93" s="148"/>
      <c r="J93" s="151"/>
      <c r="K93" s="6">
        <v>185</v>
      </c>
    </row>
    <row r="94" spans="1:11" ht="15" customHeight="1">
      <c r="A94" s="32" t="str">
        <f t="shared" si="2"/>
        <v>DM10186</v>
      </c>
      <c r="B94" s="93">
        <f t="shared" si="3"/>
        <v>40187</v>
      </c>
      <c r="C94" s="145"/>
      <c r="D94" s="145"/>
      <c r="E94" s="139" t="s">
        <v>16</v>
      </c>
      <c r="F94" s="140"/>
      <c r="G94" s="139" t="s">
        <v>17</v>
      </c>
      <c r="H94" s="140"/>
      <c r="I94" s="148"/>
      <c r="J94" s="151"/>
      <c r="K94" s="6">
        <v>186</v>
      </c>
    </row>
    <row r="95" spans="1:11" ht="15" customHeight="1">
      <c r="A95" s="32" t="str">
        <f t="shared" si="2"/>
        <v>DM10187</v>
      </c>
      <c r="B95" s="93">
        <f t="shared" si="3"/>
        <v>40188</v>
      </c>
      <c r="C95" s="145"/>
      <c r="D95" s="145"/>
      <c r="E95" s="139" t="s">
        <v>18</v>
      </c>
      <c r="F95" s="140"/>
      <c r="G95" s="139" t="s">
        <v>19</v>
      </c>
      <c r="H95" s="140"/>
      <c r="I95" s="148"/>
      <c r="J95" s="151"/>
      <c r="K95" s="6">
        <v>187</v>
      </c>
    </row>
    <row r="96" spans="1:11" ht="15" customHeight="1">
      <c r="A96" s="32" t="str">
        <f t="shared" si="2"/>
        <v>DM10188</v>
      </c>
      <c r="B96" s="93">
        <f t="shared" si="3"/>
        <v>40189</v>
      </c>
      <c r="C96" s="145"/>
      <c r="D96" s="145"/>
      <c r="E96" s="139" t="s">
        <v>20</v>
      </c>
      <c r="F96" s="140"/>
      <c r="G96" s="139" t="s">
        <v>21</v>
      </c>
      <c r="H96" s="140"/>
      <c r="I96" s="148"/>
      <c r="J96" s="151"/>
      <c r="K96" s="6">
        <v>188</v>
      </c>
    </row>
    <row r="97" spans="1:11" ht="15" customHeight="1">
      <c r="A97" s="32" t="str">
        <f t="shared" si="2"/>
        <v>DM10189</v>
      </c>
      <c r="B97" s="93">
        <f t="shared" si="3"/>
        <v>40190</v>
      </c>
      <c r="C97" s="146"/>
      <c r="D97" s="146"/>
      <c r="E97" s="139" t="s">
        <v>22</v>
      </c>
      <c r="F97" s="140"/>
      <c r="G97" s="139" t="s">
        <v>23</v>
      </c>
      <c r="H97" s="140"/>
      <c r="I97" s="149"/>
      <c r="J97" s="152"/>
      <c r="K97" s="6">
        <v>189</v>
      </c>
    </row>
    <row r="98" spans="1:11" ht="15" customHeight="1">
      <c r="A98" s="32" t="str">
        <f t="shared" si="2"/>
        <v>DM10190</v>
      </c>
      <c r="B98" s="93">
        <f t="shared" si="3"/>
        <v>40191</v>
      </c>
      <c r="C98" s="144" t="s">
        <v>246</v>
      </c>
      <c r="D98" s="144" t="s">
        <v>230</v>
      </c>
      <c r="E98" s="139" t="s">
        <v>25</v>
      </c>
      <c r="F98" s="140"/>
      <c r="G98" s="139" t="s">
        <v>65</v>
      </c>
      <c r="H98" s="140"/>
      <c r="I98" s="147" t="s">
        <v>247</v>
      </c>
      <c r="J98" s="150" t="s">
        <v>64</v>
      </c>
      <c r="K98" s="6">
        <v>190</v>
      </c>
    </row>
    <row r="99" spans="1:11" ht="15" customHeight="1">
      <c r="A99" s="32" t="str">
        <f t="shared" si="2"/>
        <v>DM10191</v>
      </c>
      <c r="B99" s="93">
        <f t="shared" si="3"/>
        <v>40192</v>
      </c>
      <c r="C99" s="145"/>
      <c r="D99" s="145"/>
      <c r="E99" s="139" t="s">
        <v>26</v>
      </c>
      <c r="F99" s="140"/>
      <c r="G99" s="139" t="s">
        <v>27</v>
      </c>
      <c r="H99" s="140"/>
      <c r="I99" s="148"/>
      <c r="J99" s="151"/>
      <c r="K99" s="6">
        <v>191</v>
      </c>
    </row>
    <row r="100" spans="1:11" ht="15" customHeight="1">
      <c r="A100" s="32" t="str">
        <f t="shared" si="2"/>
        <v>DM10192</v>
      </c>
      <c r="B100" s="93">
        <f t="shared" si="3"/>
        <v>40193</v>
      </c>
      <c r="C100" s="145"/>
      <c r="D100" s="145"/>
      <c r="E100" s="139" t="s">
        <v>28</v>
      </c>
      <c r="F100" s="140"/>
      <c r="G100" s="139" t="s">
        <v>29</v>
      </c>
      <c r="H100" s="140"/>
      <c r="I100" s="148"/>
      <c r="J100" s="151"/>
      <c r="K100" s="6">
        <v>192</v>
      </c>
    </row>
    <row r="101" spans="1:11" ht="15" customHeight="1">
      <c r="A101" s="32" t="str">
        <f t="shared" si="2"/>
        <v>DM10193</v>
      </c>
      <c r="B101" s="93">
        <f t="shared" si="3"/>
        <v>40194</v>
      </c>
      <c r="C101" s="145"/>
      <c r="D101" s="145"/>
      <c r="E101" s="139" t="s">
        <v>30</v>
      </c>
      <c r="F101" s="140"/>
      <c r="G101" s="139" t="s">
        <v>31</v>
      </c>
      <c r="H101" s="140"/>
      <c r="I101" s="148"/>
      <c r="J101" s="151"/>
      <c r="K101" s="6">
        <v>193</v>
      </c>
    </row>
    <row r="102" spans="1:11" ht="15" customHeight="1">
      <c r="A102" s="32" t="str">
        <f t="shared" si="2"/>
        <v>DM10194</v>
      </c>
      <c r="B102" s="93">
        <f t="shared" si="3"/>
        <v>40195</v>
      </c>
      <c r="C102" s="145"/>
      <c r="D102" s="145"/>
      <c r="E102" s="139" t="s">
        <v>11</v>
      </c>
      <c r="F102" s="140"/>
      <c r="G102" s="139" t="s">
        <v>12</v>
      </c>
      <c r="H102" s="140"/>
      <c r="I102" s="148"/>
      <c r="J102" s="151"/>
      <c r="K102" s="6">
        <v>194</v>
      </c>
    </row>
    <row r="103" spans="1:11" ht="15" customHeight="1">
      <c r="A103" s="32" t="str">
        <f t="shared" si="2"/>
        <v>DM10195</v>
      </c>
      <c r="B103" s="93">
        <f t="shared" si="3"/>
        <v>40196</v>
      </c>
      <c r="C103" s="145"/>
      <c r="D103" s="145"/>
      <c r="E103" s="139" t="s">
        <v>13</v>
      </c>
      <c r="F103" s="140"/>
      <c r="G103" s="139" t="s">
        <v>14</v>
      </c>
      <c r="H103" s="140"/>
      <c r="I103" s="148"/>
      <c r="J103" s="151"/>
      <c r="K103" s="6">
        <v>195</v>
      </c>
    </row>
    <row r="104" spans="1:11" ht="15" customHeight="1">
      <c r="A104" s="32" t="str">
        <f t="shared" si="2"/>
        <v>DM10196</v>
      </c>
      <c r="B104" s="93">
        <f t="shared" si="3"/>
        <v>40197</v>
      </c>
      <c r="C104" s="145"/>
      <c r="D104" s="145"/>
      <c r="E104" s="139" t="s">
        <v>16</v>
      </c>
      <c r="F104" s="140"/>
      <c r="G104" s="139" t="s">
        <v>17</v>
      </c>
      <c r="H104" s="140"/>
      <c r="I104" s="148"/>
      <c r="J104" s="151"/>
      <c r="K104" s="6">
        <v>196</v>
      </c>
    </row>
    <row r="105" spans="1:11" ht="15" customHeight="1">
      <c r="A105" s="32" t="str">
        <f t="shared" si="2"/>
        <v>DM10197</v>
      </c>
      <c r="B105" s="93">
        <f t="shared" si="3"/>
        <v>40198</v>
      </c>
      <c r="C105" s="145"/>
      <c r="D105" s="145"/>
      <c r="E105" s="139" t="s">
        <v>18</v>
      </c>
      <c r="F105" s="140"/>
      <c r="G105" s="139" t="s">
        <v>19</v>
      </c>
      <c r="H105" s="140"/>
      <c r="I105" s="148"/>
      <c r="J105" s="151"/>
      <c r="K105" s="6">
        <v>197</v>
      </c>
    </row>
    <row r="106" spans="1:11" ht="15" customHeight="1">
      <c r="A106" s="32" t="str">
        <f t="shared" si="2"/>
        <v>DM10198</v>
      </c>
      <c r="B106" s="93">
        <f t="shared" si="3"/>
        <v>40199</v>
      </c>
      <c r="C106" s="145"/>
      <c r="D106" s="145"/>
      <c r="E106" s="139" t="s">
        <v>20</v>
      </c>
      <c r="F106" s="140"/>
      <c r="G106" s="139" t="s">
        <v>21</v>
      </c>
      <c r="H106" s="140"/>
      <c r="I106" s="148"/>
      <c r="J106" s="151"/>
      <c r="K106" s="6">
        <v>198</v>
      </c>
    </row>
    <row r="107" spans="1:11" ht="15" customHeight="1">
      <c r="A107" s="32" t="str">
        <f t="shared" si="2"/>
        <v>DM10199</v>
      </c>
      <c r="B107" s="93">
        <f t="shared" si="3"/>
        <v>40200</v>
      </c>
      <c r="C107" s="146"/>
      <c r="D107" s="146"/>
      <c r="E107" s="139" t="s">
        <v>22</v>
      </c>
      <c r="F107" s="140"/>
      <c r="G107" s="139" t="s">
        <v>23</v>
      </c>
      <c r="H107" s="140"/>
      <c r="I107" s="149"/>
      <c r="J107" s="152"/>
      <c r="K107" s="6">
        <v>199</v>
      </c>
    </row>
    <row r="108" spans="1:11" ht="15" customHeight="1">
      <c r="A108" s="32" t="str">
        <f t="shared" si="2"/>
        <v>DM10200</v>
      </c>
      <c r="B108" s="93">
        <f t="shared" si="3"/>
        <v>40201</v>
      </c>
      <c r="C108" s="144" t="s">
        <v>248</v>
      </c>
      <c r="D108" s="144" t="s">
        <v>230</v>
      </c>
      <c r="E108" s="139" t="s">
        <v>25</v>
      </c>
      <c r="F108" s="140"/>
      <c r="G108" s="139" t="s">
        <v>65</v>
      </c>
      <c r="H108" s="140"/>
      <c r="I108" s="147" t="s">
        <v>249</v>
      </c>
      <c r="J108" s="150" t="s">
        <v>64</v>
      </c>
      <c r="K108" s="6">
        <v>200</v>
      </c>
    </row>
    <row r="109" spans="1:11" ht="15" customHeight="1">
      <c r="A109" s="32" t="str">
        <f t="shared" si="2"/>
        <v>DM10201</v>
      </c>
      <c r="B109" s="93">
        <f t="shared" si="3"/>
        <v>40202</v>
      </c>
      <c r="C109" s="145"/>
      <c r="D109" s="145"/>
      <c r="E109" s="139" t="s">
        <v>26</v>
      </c>
      <c r="F109" s="140"/>
      <c r="G109" s="139" t="s">
        <v>27</v>
      </c>
      <c r="H109" s="140"/>
      <c r="I109" s="148"/>
      <c r="J109" s="151"/>
      <c r="K109" s="6">
        <v>201</v>
      </c>
    </row>
    <row r="110" spans="1:11" ht="15" customHeight="1">
      <c r="A110" s="32" t="str">
        <f t="shared" si="2"/>
        <v>DM10202</v>
      </c>
      <c r="B110" s="93">
        <f t="shared" si="3"/>
        <v>40203</v>
      </c>
      <c r="C110" s="145"/>
      <c r="D110" s="145"/>
      <c r="E110" s="139" t="s">
        <v>28</v>
      </c>
      <c r="F110" s="140"/>
      <c r="G110" s="139" t="s">
        <v>29</v>
      </c>
      <c r="H110" s="140"/>
      <c r="I110" s="148"/>
      <c r="J110" s="151"/>
      <c r="K110" s="6">
        <v>202</v>
      </c>
    </row>
    <row r="111" spans="1:11" ht="15" customHeight="1">
      <c r="A111" s="32" t="str">
        <f t="shared" si="2"/>
        <v>DM10203</v>
      </c>
      <c r="B111" s="93">
        <f t="shared" si="3"/>
        <v>40204</v>
      </c>
      <c r="C111" s="145"/>
      <c r="D111" s="145"/>
      <c r="E111" s="139" t="s">
        <v>30</v>
      </c>
      <c r="F111" s="140"/>
      <c r="G111" s="139" t="s">
        <v>31</v>
      </c>
      <c r="H111" s="140"/>
      <c r="I111" s="148"/>
      <c r="J111" s="151"/>
      <c r="K111" s="6">
        <v>203</v>
      </c>
    </row>
    <row r="112" spans="1:11" ht="15" customHeight="1">
      <c r="A112" s="32" t="str">
        <f t="shared" si="2"/>
        <v>DM10204</v>
      </c>
      <c r="B112" s="93">
        <f t="shared" si="3"/>
        <v>40205</v>
      </c>
      <c r="C112" s="145"/>
      <c r="D112" s="145"/>
      <c r="E112" s="139" t="s">
        <v>11</v>
      </c>
      <c r="F112" s="140"/>
      <c r="G112" s="139" t="s">
        <v>12</v>
      </c>
      <c r="H112" s="140"/>
      <c r="I112" s="148"/>
      <c r="J112" s="151"/>
      <c r="K112" s="6">
        <v>204</v>
      </c>
    </row>
    <row r="113" spans="1:11" ht="15" customHeight="1">
      <c r="A113" s="32" t="str">
        <f t="shared" si="2"/>
        <v>DM10205</v>
      </c>
      <c r="B113" s="93">
        <f t="shared" si="3"/>
        <v>40206</v>
      </c>
      <c r="C113" s="145"/>
      <c r="D113" s="145"/>
      <c r="E113" s="139" t="s">
        <v>13</v>
      </c>
      <c r="F113" s="140"/>
      <c r="G113" s="139" t="s">
        <v>14</v>
      </c>
      <c r="H113" s="140"/>
      <c r="I113" s="148"/>
      <c r="J113" s="151"/>
      <c r="K113" s="6">
        <v>205</v>
      </c>
    </row>
    <row r="114" spans="1:11" ht="15" customHeight="1">
      <c r="A114" s="32" t="str">
        <f t="shared" si="2"/>
        <v>DM10206</v>
      </c>
      <c r="B114" s="93">
        <f t="shared" si="3"/>
        <v>40207</v>
      </c>
      <c r="C114" s="145"/>
      <c r="D114" s="145"/>
      <c r="E114" s="139" t="s">
        <v>16</v>
      </c>
      <c r="F114" s="140"/>
      <c r="G114" s="139" t="s">
        <v>17</v>
      </c>
      <c r="H114" s="140"/>
      <c r="I114" s="148"/>
      <c r="J114" s="151"/>
      <c r="K114" s="6">
        <v>206</v>
      </c>
    </row>
    <row r="115" spans="1:11" ht="15" customHeight="1">
      <c r="A115" s="32" t="str">
        <f t="shared" si="2"/>
        <v>DM10207</v>
      </c>
      <c r="B115" s="93">
        <f t="shared" si="3"/>
        <v>40208</v>
      </c>
      <c r="C115" s="145"/>
      <c r="D115" s="145"/>
      <c r="E115" s="139" t="s">
        <v>18</v>
      </c>
      <c r="F115" s="140"/>
      <c r="G115" s="139" t="s">
        <v>19</v>
      </c>
      <c r="H115" s="140"/>
      <c r="I115" s="148"/>
      <c r="J115" s="151"/>
      <c r="K115" s="6">
        <v>207</v>
      </c>
    </row>
    <row r="116" spans="1:11" ht="15" customHeight="1">
      <c r="A116" s="32" t="str">
        <f t="shared" si="2"/>
        <v>DM10208</v>
      </c>
      <c r="B116" s="93">
        <f t="shared" si="3"/>
        <v>40209</v>
      </c>
      <c r="C116" s="145"/>
      <c r="D116" s="145"/>
      <c r="E116" s="139" t="s">
        <v>20</v>
      </c>
      <c r="F116" s="140"/>
      <c r="G116" s="139" t="s">
        <v>21</v>
      </c>
      <c r="H116" s="140"/>
      <c r="I116" s="148"/>
      <c r="J116" s="151"/>
      <c r="K116" s="6">
        <v>208</v>
      </c>
    </row>
    <row r="117" spans="1:11" ht="15" customHeight="1">
      <c r="A117" s="32" t="str">
        <f t="shared" si="2"/>
        <v>DM10209</v>
      </c>
      <c r="B117" s="93">
        <f t="shared" si="3"/>
        <v>40210</v>
      </c>
      <c r="C117" s="146"/>
      <c r="D117" s="146"/>
      <c r="E117" s="139" t="s">
        <v>22</v>
      </c>
      <c r="F117" s="140"/>
      <c r="G117" s="139" t="s">
        <v>23</v>
      </c>
      <c r="H117" s="140"/>
      <c r="I117" s="149"/>
      <c r="J117" s="152"/>
      <c r="K117" s="6">
        <v>209</v>
      </c>
    </row>
    <row r="118" spans="1:11">
      <c r="A118" s="32" t="str">
        <f t="shared" si="2"/>
        <v>DM10210</v>
      </c>
      <c r="B118" s="93">
        <f t="shared" si="3"/>
        <v>40211</v>
      </c>
      <c r="C118" s="144" t="s">
        <v>250</v>
      </c>
      <c r="D118" s="144" t="s">
        <v>230</v>
      </c>
      <c r="E118" s="139" t="s">
        <v>25</v>
      </c>
      <c r="F118" s="140"/>
      <c r="G118" s="139" t="s">
        <v>65</v>
      </c>
      <c r="H118" s="140"/>
      <c r="I118" s="147" t="s">
        <v>251</v>
      </c>
      <c r="J118" s="150" t="s">
        <v>64</v>
      </c>
      <c r="K118" s="6">
        <v>210</v>
      </c>
    </row>
    <row r="119" spans="1:11">
      <c r="A119" s="32" t="str">
        <f t="shared" si="2"/>
        <v>DM10211</v>
      </c>
      <c r="B119" s="93">
        <f t="shared" si="3"/>
        <v>40212</v>
      </c>
      <c r="C119" s="145"/>
      <c r="D119" s="145"/>
      <c r="E119" s="139" t="s">
        <v>26</v>
      </c>
      <c r="F119" s="140"/>
      <c r="G119" s="139" t="s">
        <v>27</v>
      </c>
      <c r="H119" s="140"/>
      <c r="I119" s="148"/>
      <c r="J119" s="151"/>
      <c r="K119" s="6">
        <v>211</v>
      </c>
    </row>
    <row r="120" spans="1:11">
      <c r="A120" s="32" t="str">
        <f t="shared" si="2"/>
        <v>DM10212</v>
      </c>
      <c r="B120" s="93">
        <f t="shared" si="3"/>
        <v>40213</v>
      </c>
      <c r="C120" s="145"/>
      <c r="D120" s="145"/>
      <c r="E120" s="139" t="s">
        <v>28</v>
      </c>
      <c r="F120" s="140"/>
      <c r="G120" s="139" t="s">
        <v>29</v>
      </c>
      <c r="H120" s="140"/>
      <c r="I120" s="148"/>
      <c r="J120" s="151"/>
      <c r="K120" s="6">
        <v>212</v>
      </c>
    </row>
    <row r="121" spans="1:11">
      <c r="A121" s="32" t="str">
        <f t="shared" si="2"/>
        <v>DM10213</v>
      </c>
      <c r="B121" s="93">
        <f t="shared" si="3"/>
        <v>40214</v>
      </c>
      <c r="C121" s="145"/>
      <c r="D121" s="145"/>
      <c r="E121" s="139" t="s">
        <v>30</v>
      </c>
      <c r="F121" s="140"/>
      <c r="G121" s="139" t="s">
        <v>31</v>
      </c>
      <c r="H121" s="140"/>
      <c r="I121" s="148"/>
      <c r="J121" s="151"/>
      <c r="K121" s="6">
        <v>213</v>
      </c>
    </row>
    <row r="122" spans="1:11">
      <c r="A122" s="32" t="str">
        <f t="shared" ref="A122:A185" si="4">LEFT($D$3, 2) &amp; (MID($D$3, 3, LEN($D$3)) + K122)</f>
        <v>DM10214</v>
      </c>
      <c r="B122" s="93">
        <f t="shared" ref="B122:B185" si="5">$D$4+K122</f>
        <v>40215</v>
      </c>
      <c r="C122" s="145"/>
      <c r="D122" s="145"/>
      <c r="E122" s="139" t="s">
        <v>11</v>
      </c>
      <c r="F122" s="140"/>
      <c r="G122" s="139" t="s">
        <v>12</v>
      </c>
      <c r="H122" s="140"/>
      <c r="I122" s="148"/>
      <c r="J122" s="151"/>
      <c r="K122" s="6">
        <v>214</v>
      </c>
    </row>
    <row r="123" spans="1:11">
      <c r="A123" s="32" t="str">
        <f t="shared" si="4"/>
        <v>DM10215</v>
      </c>
      <c r="B123" s="93">
        <f t="shared" si="5"/>
        <v>40216</v>
      </c>
      <c r="C123" s="145"/>
      <c r="D123" s="145"/>
      <c r="E123" s="139" t="s">
        <v>13</v>
      </c>
      <c r="F123" s="140"/>
      <c r="G123" s="139" t="s">
        <v>14</v>
      </c>
      <c r="H123" s="140"/>
      <c r="I123" s="148"/>
      <c r="J123" s="151"/>
      <c r="K123" s="6">
        <v>215</v>
      </c>
    </row>
    <row r="124" spans="1:11" ht="15" customHeight="1">
      <c r="A124" s="32" t="str">
        <f t="shared" si="4"/>
        <v>DM10216</v>
      </c>
      <c r="B124" s="93">
        <f t="shared" si="5"/>
        <v>40217</v>
      </c>
      <c r="C124" s="145"/>
      <c r="D124" s="145"/>
      <c r="E124" s="139" t="s">
        <v>16</v>
      </c>
      <c r="F124" s="140"/>
      <c r="G124" s="139" t="s">
        <v>17</v>
      </c>
      <c r="H124" s="140"/>
      <c r="I124" s="148"/>
      <c r="J124" s="151"/>
      <c r="K124" s="6">
        <v>216</v>
      </c>
    </row>
    <row r="125" spans="1:11" ht="15" customHeight="1">
      <c r="A125" s="32" t="str">
        <f t="shared" si="4"/>
        <v>DM10217</v>
      </c>
      <c r="B125" s="93">
        <f t="shared" si="5"/>
        <v>40218</v>
      </c>
      <c r="C125" s="145"/>
      <c r="D125" s="145"/>
      <c r="E125" s="139" t="s">
        <v>18</v>
      </c>
      <c r="F125" s="140"/>
      <c r="G125" s="139" t="s">
        <v>19</v>
      </c>
      <c r="H125" s="140"/>
      <c r="I125" s="148"/>
      <c r="J125" s="151"/>
      <c r="K125" s="6">
        <v>217</v>
      </c>
    </row>
    <row r="126" spans="1:11" ht="15" customHeight="1">
      <c r="A126" s="32" t="str">
        <f t="shared" si="4"/>
        <v>DM10218</v>
      </c>
      <c r="B126" s="93">
        <f t="shared" si="5"/>
        <v>40219</v>
      </c>
      <c r="C126" s="145"/>
      <c r="D126" s="145"/>
      <c r="E126" s="139" t="s">
        <v>20</v>
      </c>
      <c r="F126" s="140"/>
      <c r="G126" s="139" t="s">
        <v>21</v>
      </c>
      <c r="H126" s="140"/>
      <c r="I126" s="148"/>
      <c r="J126" s="151"/>
      <c r="K126" s="6">
        <v>218</v>
      </c>
    </row>
    <row r="127" spans="1:11" ht="15" customHeight="1">
      <c r="A127" s="32" t="str">
        <f t="shared" si="4"/>
        <v>DM10219</v>
      </c>
      <c r="B127" s="93">
        <f t="shared" si="5"/>
        <v>40220</v>
      </c>
      <c r="C127" s="146"/>
      <c r="D127" s="146"/>
      <c r="E127" s="139" t="s">
        <v>22</v>
      </c>
      <c r="F127" s="140"/>
      <c r="G127" s="139" t="s">
        <v>23</v>
      </c>
      <c r="H127" s="140"/>
      <c r="I127" s="149"/>
      <c r="J127" s="152"/>
      <c r="K127" s="6">
        <v>219</v>
      </c>
    </row>
    <row r="128" spans="1:11" ht="15" customHeight="1">
      <c r="A128" s="32" t="str">
        <f t="shared" si="4"/>
        <v>DM10220</v>
      </c>
      <c r="B128" s="93">
        <f t="shared" si="5"/>
        <v>40221</v>
      </c>
      <c r="C128" s="41" t="s">
        <v>0</v>
      </c>
      <c r="D128" s="41"/>
      <c r="E128" s="10"/>
      <c r="F128" s="10"/>
      <c r="G128" s="10"/>
      <c r="H128" s="10"/>
      <c r="I128" s="80"/>
      <c r="J128" s="81"/>
      <c r="K128" s="6">
        <v>220</v>
      </c>
    </row>
    <row r="129" spans="1:11" ht="15" customHeight="1">
      <c r="A129" s="32" t="str">
        <f t="shared" si="4"/>
        <v>DM10221</v>
      </c>
      <c r="B129" s="93">
        <f t="shared" si="5"/>
        <v>40222</v>
      </c>
      <c r="C129" s="41" t="s">
        <v>0</v>
      </c>
      <c r="D129" s="41"/>
      <c r="E129" s="10"/>
      <c r="F129" s="10"/>
      <c r="G129" s="10"/>
      <c r="H129" s="10"/>
      <c r="I129" s="80"/>
      <c r="J129" s="81"/>
      <c r="K129" s="6">
        <v>221</v>
      </c>
    </row>
    <row r="130" spans="1:11" ht="15" customHeight="1">
      <c r="A130" s="32" t="str">
        <f t="shared" si="4"/>
        <v>DM10222</v>
      </c>
      <c r="B130" s="93">
        <f t="shared" si="5"/>
        <v>40223</v>
      </c>
      <c r="C130" s="41" t="s">
        <v>0</v>
      </c>
      <c r="D130" s="41"/>
      <c r="E130" s="10"/>
      <c r="F130" s="10"/>
      <c r="G130" s="10"/>
      <c r="H130" s="10"/>
      <c r="I130" s="80"/>
      <c r="J130" s="81"/>
      <c r="K130" s="6">
        <v>222</v>
      </c>
    </row>
    <row r="131" spans="1:11" ht="15" customHeight="1">
      <c r="A131" s="32" t="str">
        <f t="shared" si="4"/>
        <v>DM10223</v>
      </c>
      <c r="B131" s="93">
        <f t="shared" si="5"/>
        <v>40224</v>
      </c>
      <c r="C131" s="41" t="s">
        <v>0</v>
      </c>
      <c r="D131" s="41"/>
      <c r="E131" s="10"/>
      <c r="F131" s="10"/>
      <c r="G131" s="10"/>
      <c r="H131" s="10"/>
      <c r="I131" s="80"/>
      <c r="J131" s="81"/>
      <c r="K131" s="6">
        <v>223</v>
      </c>
    </row>
    <row r="132" spans="1:11" ht="15" customHeight="1">
      <c r="A132" s="32" t="str">
        <f t="shared" si="4"/>
        <v>DM10224</v>
      </c>
      <c r="B132" s="93">
        <f t="shared" si="5"/>
        <v>40225</v>
      </c>
      <c r="C132" s="41" t="s">
        <v>0</v>
      </c>
      <c r="D132" s="41"/>
      <c r="E132" s="10"/>
      <c r="F132" s="10"/>
      <c r="G132" s="10"/>
      <c r="H132" s="10"/>
      <c r="I132" s="80"/>
      <c r="J132" s="81"/>
      <c r="K132" s="6">
        <v>224</v>
      </c>
    </row>
    <row r="133" spans="1:11" ht="15" customHeight="1">
      <c r="A133" s="32" t="str">
        <f t="shared" si="4"/>
        <v>DM10225</v>
      </c>
      <c r="B133" s="93">
        <f t="shared" si="5"/>
        <v>40226</v>
      </c>
      <c r="C133" s="41" t="s">
        <v>0</v>
      </c>
      <c r="D133" s="41"/>
      <c r="E133" s="10"/>
      <c r="F133" s="10"/>
      <c r="G133" s="10"/>
      <c r="H133" s="10"/>
      <c r="I133" s="80"/>
      <c r="J133" s="81"/>
      <c r="K133" s="6">
        <v>225</v>
      </c>
    </row>
    <row r="134" spans="1:11" ht="15" customHeight="1">
      <c r="A134" s="32" t="str">
        <f t="shared" si="4"/>
        <v>DM10226</v>
      </c>
      <c r="B134" s="93">
        <f t="shared" si="5"/>
        <v>40227</v>
      </c>
      <c r="C134" s="41" t="s">
        <v>0</v>
      </c>
      <c r="D134" s="41"/>
      <c r="E134" s="10"/>
      <c r="F134" s="10"/>
      <c r="G134" s="10"/>
      <c r="H134" s="10"/>
      <c r="I134" s="80"/>
      <c r="J134" s="81"/>
      <c r="K134" s="6">
        <v>226</v>
      </c>
    </row>
    <row r="135" spans="1:11" ht="15" customHeight="1">
      <c r="A135" s="32" t="str">
        <f t="shared" si="4"/>
        <v>DM10227</v>
      </c>
      <c r="B135" s="93">
        <f t="shared" si="5"/>
        <v>40228</v>
      </c>
      <c r="C135" s="41" t="s">
        <v>0</v>
      </c>
      <c r="D135" s="41"/>
      <c r="E135" s="10"/>
      <c r="F135" s="10"/>
      <c r="G135" s="10"/>
      <c r="H135" s="10"/>
      <c r="I135" s="80"/>
      <c r="J135" s="81"/>
      <c r="K135" s="6">
        <v>227</v>
      </c>
    </row>
    <row r="136" spans="1:11" ht="15" customHeight="1">
      <c r="A136" s="32" t="str">
        <f t="shared" si="4"/>
        <v>DM10228</v>
      </c>
      <c r="B136" s="93">
        <f t="shared" si="5"/>
        <v>40229</v>
      </c>
      <c r="C136" s="41" t="s">
        <v>0</v>
      </c>
      <c r="D136" s="41"/>
      <c r="E136" s="10"/>
      <c r="F136" s="10"/>
      <c r="G136" s="10"/>
      <c r="H136" s="10"/>
      <c r="I136" s="80"/>
      <c r="J136" s="81"/>
      <c r="K136" s="6">
        <v>228</v>
      </c>
    </row>
    <row r="137" spans="1:11" ht="15" customHeight="1">
      <c r="A137" s="32" t="str">
        <f t="shared" si="4"/>
        <v>DM10229</v>
      </c>
      <c r="B137" s="93">
        <f t="shared" si="5"/>
        <v>40230</v>
      </c>
      <c r="C137" s="41" t="s">
        <v>0</v>
      </c>
      <c r="D137" s="41"/>
      <c r="E137" s="10"/>
      <c r="F137" s="10"/>
      <c r="G137" s="10"/>
      <c r="H137" s="10"/>
      <c r="I137" s="80"/>
      <c r="J137" s="81"/>
      <c r="K137" s="6">
        <v>229</v>
      </c>
    </row>
    <row r="138" spans="1:11" ht="15" customHeight="1">
      <c r="A138" s="32" t="str">
        <f t="shared" si="4"/>
        <v>DM10230</v>
      </c>
      <c r="B138" s="93">
        <f t="shared" si="5"/>
        <v>40231</v>
      </c>
      <c r="C138" s="41" t="s">
        <v>0</v>
      </c>
      <c r="D138" s="41"/>
      <c r="E138" s="10"/>
      <c r="F138" s="10"/>
      <c r="G138" s="10"/>
      <c r="H138" s="10"/>
      <c r="I138" s="80"/>
      <c r="J138" s="81"/>
      <c r="K138" s="6">
        <v>230</v>
      </c>
    </row>
    <row r="139" spans="1:11" ht="15" customHeight="1">
      <c r="A139" s="32" t="str">
        <f t="shared" si="4"/>
        <v>DM10231</v>
      </c>
      <c r="B139" s="93">
        <f t="shared" si="5"/>
        <v>40232</v>
      </c>
      <c r="C139" s="41" t="s">
        <v>0</v>
      </c>
      <c r="D139" s="41"/>
      <c r="E139" s="10"/>
      <c r="F139" s="10"/>
      <c r="G139" s="10"/>
      <c r="H139" s="10"/>
      <c r="I139" s="80"/>
      <c r="J139" s="81"/>
      <c r="K139" s="6">
        <v>231</v>
      </c>
    </row>
    <row r="140" spans="1:11" ht="15" customHeight="1">
      <c r="A140" s="32" t="str">
        <f t="shared" si="4"/>
        <v>DM10232</v>
      </c>
      <c r="B140" s="93">
        <f t="shared" si="5"/>
        <v>40233</v>
      </c>
      <c r="C140" s="41" t="s">
        <v>0</v>
      </c>
      <c r="D140" s="41"/>
      <c r="E140" s="10"/>
      <c r="F140" s="10"/>
      <c r="G140" s="10"/>
      <c r="H140" s="10"/>
      <c r="I140" s="80"/>
      <c r="J140" s="81"/>
      <c r="K140" s="6">
        <v>232</v>
      </c>
    </row>
    <row r="141" spans="1:11" ht="15" customHeight="1">
      <c r="A141" s="32" t="str">
        <f t="shared" si="4"/>
        <v>DM10233</v>
      </c>
      <c r="B141" s="93">
        <f t="shared" si="5"/>
        <v>40234</v>
      </c>
      <c r="C141" s="41" t="s">
        <v>0</v>
      </c>
      <c r="D141" s="41"/>
      <c r="E141" s="10"/>
      <c r="F141" s="10"/>
      <c r="G141" s="10"/>
      <c r="H141" s="10"/>
      <c r="I141" s="80"/>
      <c r="J141" s="81"/>
      <c r="K141" s="6">
        <v>233</v>
      </c>
    </row>
    <row r="142" spans="1:11" ht="15" customHeight="1">
      <c r="A142" s="32" t="str">
        <f t="shared" si="4"/>
        <v>DM10234</v>
      </c>
      <c r="B142" s="93">
        <f t="shared" si="5"/>
        <v>40235</v>
      </c>
      <c r="C142" s="41" t="s">
        <v>0</v>
      </c>
      <c r="D142" s="41"/>
      <c r="E142" s="10"/>
      <c r="F142" s="10"/>
      <c r="G142" s="10"/>
      <c r="H142" s="10"/>
      <c r="I142" s="80"/>
      <c r="J142" s="81"/>
      <c r="K142" s="6">
        <v>234</v>
      </c>
    </row>
    <row r="143" spans="1:11" ht="15" customHeight="1">
      <c r="A143" s="32" t="str">
        <f t="shared" si="4"/>
        <v>DM10235</v>
      </c>
      <c r="B143" s="93">
        <f t="shared" si="5"/>
        <v>40236</v>
      </c>
      <c r="C143" s="41" t="s">
        <v>0</v>
      </c>
      <c r="D143" s="41"/>
      <c r="E143" s="10"/>
      <c r="F143" s="10"/>
      <c r="G143" s="10"/>
      <c r="H143" s="10"/>
      <c r="I143" s="80"/>
      <c r="J143" s="81"/>
      <c r="K143" s="6">
        <v>235</v>
      </c>
    </row>
    <row r="144" spans="1:11" ht="15" customHeight="1">
      <c r="A144" s="32" t="str">
        <f t="shared" si="4"/>
        <v>DM10236</v>
      </c>
      <c r="B144" s="93">
        <f t="shared" si="5"/>
        <v>40237</v>
      </c>
      <c r="C144" s="41" t="s">
        <v>0</v>
      </c>
      <c r="D144" s="41"/>
      <c r="E144" s="10"/>
      <c r="F144" s="10"/>
      <c r="G144" s="10"/>
      <c r="H144" s="10"/>
      <c r="I144" s="80"/>
      <c r="J144" s="81"/>
      <c r="K144" s="6">
        <v>236</v>
      </c>
    </row>
    <row r="145" spans="1:11" ht="15" customHeight="1">
      <c r="A145" s="32" t="str">
        <f t="shared" si="4"/>
        <v>DM10237</v>
      </c>
      <c r="B145" s="93">
        <f t="shared" si="5"/>
        <v>40238</v>
      </c>
      <c r="C145" s="41" t="s">
        <v>0</v>
      </c>
      <c r="D145" s="41"/>
      <c r="E145" s="10"/>
      <c r="F145" s="10"/>
      <c r="G145" s="10"/>
      <c r="H145" s="10"/>
      <c r="I145" s="80"/>
      <c r="J145" s="81"/>
      <c r="K145" s="6">
        <v>237</v>
      </c>
    </row>
    <row r="146" spans="1:11" ht="15" customHeight="1">
      <c r="A146" s="32" t="str">
        <f t="shared" si="4"/>
        <v>DM10238</v>
      </c>
      <c r="B146" s="93">
        <f t="shared" si="5"/>
        <v>40239</v>
      </c>
      <c r="C146" s="41" t="s">
        <v>0</v>
      </c>
      <c r="D146" s="41"/>
      <c r="E146" s="10"/>
      <c r="F146" s="10"/>
      <c r="G146" s="10"/>
      <c r="H146" s="10"/>
      <c r="I146" s="80"/>
      <c r="J146" s="81"/>
      <c r="K146" s="6">
        <v>238</v>
      </c>
    </row>
    <row r="147" spans="1:11" ht="15" customHeight="1">
      <c r="A147" s="32" t="str">
        <f t="shared" si="4"/>
        <v>DM10239</v>
      </c>
      <c r="B147" s="93">
        <f t="shared" si="5"/>
        <v>40240</v>
      </c>
      <c r="C147" s="41" t="s">
        <v>0</v>
      </c>
      <c r="D147" s="41"/>
      <c r="E147" s="10"/>
      <c r="F147" s="10"/>
      <c r="G147" s="10"/>
      <c r="H147" s="10"/>
      <c r="I147" s="80"/>
      <c r="J147" s="81"/>
      <c r="K147" s="6">
        <v>239</v>
      </c>
    </row>
    <row r="148" spans="1:11" ht="15" customHeight="1">
      <c r="A148" s="32" t="str">
        <f t="shared" si="4"/>
        <v>DM10240</v>
      </c>
      <c r="B148" s="93">
        <f t="shared" si="5"/>
        <v>40241</v>
      </c>
      <c r="C148" s="41" t="s">
        <v>0</v>
      </c>
      <c r="D148" s="41"/>
      <c r="E148" s="10"/>
      <c r="F148" s="10"/>
      <c r="G148" s="10"/>
      <c r="H148" s="10"/>
      <c r="I148" s="80"/>
      <c r="J148" s="81"/>
      <c r="K148" s="6">
        <v>240</v>
      </c>
    </row>
    <row r="149" spans="1:11" ht="15" customHeight="1">
      <c r="A149" s="32" t="str">
        <f t="shared" si="4"/>
        <v>DM10241</v>
      </c>
      <c r="B149" s="93">
        <f t="shared" si="5"/>
        <v>40242</v>
      </c>
      <c r="C149" s="41" t="s">
        <v>0</v>
      </c>
      <c r="D149" s="41"/>
      <c r="E149" s="10"/>
      <c r="F149" s="10"/>
      <c r="G149" s="10"/>
      <c r="H149" s="10"/>
      <c r="I149" s="80"/>
      <c r="J149" s="81"/>
      <c r="K149" s="6">
        <v>241</v>
      </c>
    </row>
    <row r="150" spans="1:11" ht="15" customHeight="1">
      <c r="A150" s="32" t="str">
        <f t="shared" si="4"/>
        <v>DM10242</v>
      </c>
      <c r="B150" s="93">
        <f t="shared" si="5"/>
        <v>40243</v>
      </c>
      <c r="C150" s="41" t="s">
        <v>0</v>
      </c>
      <c r="D150" s="41"/>
      <c r="E150" s="10"/>
      <c r="F150" s="10"/>
      <c r="G150" s="10"/>
      <c r="H150" s="10"/>
      <c r="I150" s="80"/>
      <c r="J150" s="81"/>
      <c r="K150" s="6">
        <v>242</v>
      </c>
    </row>
    <row r="151" spans="1:11" ht="15" customHeight="1">
      <c r="A151" s="32" t="str">
        <f t="shared" si="4"/>
        <v>DM10243</v>
      </c>
      <c r="B151" s="93">
        <f t="shared" si="5"/>
        <v>40244</v>
      </c>
      <c r="C151" s="41" t="s">
        <v>0</v>
      </c>
      <c r="D151" s="41"/>
      <c r="E151" s="10"/>
      <c r="F151" s="10"/>
      <c r="G151" s="10"/>
      <c r="H151" s="10"/>
      <c r="I151" s="80"/>
      <c r="J151" s="81"/>
      <c r="K151" s="6">
        <v>243</v>
      </c>
    </row>
    <row r="152" spans="1:11" ht="15" customHeight="1">
      <c r="A152" s="32" t="str">
        <f t="shared" si="4"/>
        <v>DM10244</v>
      </c>
      <c r="B152" s="93">
        <f t="shared" si="5"/>
        <v>40245</v>
      </c>
      <c r="C152" s="41" t="s">
        <v>0</v>
      </c>
      <c r="D152" s="41"/>
      <c r="E152" s="10"/>
      <c r="F152" s="10"/>
      <c r="G152" s="10"/>
      <c r="H152" s="10"/>
      <c r="I152" s="80"/>
      <c r="J152" s="81"/>
      <c r="K152" s="6">
        <v>244</v>
      </c>
    </row>
    <row r="153" spans="1:11" ht="15" customHeight="1">
      <c r="A153" s="32" t="str">
        <f t="shared" si="4"/>
        <v>DM10245</v>
      </c>
      <c r="B153" s="93">
        <f t="shared" si="5"/>
        <v>40246</v>
      </c>
      <c r="C153" s="41" t="s">
        <v>0</v>
      </c>
      <c r="D153" s="41"/>
      <c r="E153" s="10"/>
      <c r="F153" s="10"/>
      <c r="G153" s="10"/>
      <c r="H153" s="10"/>
      <c r="I153" s="80"/>
      <c r="J153" s="81"/>
      <c r="K153" s="6">
        <v>245</v>
      </c>
    </row>
    <row r="154" spans="1:11" ht="15" customHeight="1">
      <c r="A154" s="32" t="str">
        <f t="shared" si="4"/>
        <v>DM10246</v>
      </c>
      <c r="B154" s="93">
        <f t="shared" si="5"/>
        <v>40247</v>
      </c>
      <c r="C154" s="41" t="s">
        <v>0</v>
      </c>
      <c r="D154" s="41"/>
      <c r="E154" s="10"/>
      <c r="F154" s="10"/>
      <c r="G154" s="10"/>
      <c r="H154" s="10"/>
      <c r="I154" s="80"/>
      <c r="J154" s="81"/>
      <c r="K154" s="6">
        <v>246</v>
      </c>
    </row>
    <row r="155" spans="1:11" ht="15" customHeight="1">
      <c r="A155" s="32" t="str">
        <f t="shared" si="4"/>
        <v>DM10247</v>
      </c>
      <c r="B155" s="93">
        <f t="shared" si="5"/>
        <v>40248</v>
      </c>
      <c r="C155" s="41" t="s">
        <v>0</v>
      </c>
      <c r="D155" s="41"/>
      <c r="E155" s="10"/>
      <c r="F155" s="10"/>
      <c r="G155" s="10"/>
      <c r="H155" s="10"/>
      <c r="I155" s="80"/>
      <c r="J155" s="81"/>
      <c r="K155" s="6">
        <v>247</v>
      </c>
    </row>
    <row r="156" spans="1:11" ht="15" customHeight="1">
      <c r="A156" s="32" t="str">
        <f t="shared" si="4"/>
        <v>DM10248</v>
      </c>
      <c r="B156" s="93">
        <f t="shared" si="5"/>
        <v>40249</v>
      </c>
      <c r="C156" s="41" t="s">
        <v>0</v>
      </c>
      <c r="D156" s="41"/>
      <c r="E156" s="10"/>
      <c r="F156" s="10"/>
      <c r="G156" s="10"/>
      <c r="H156" s="10"/>
      <c r="I156" s="80"/>
      <c r="J156" s="81"/>
      <c r="K156" s="6">
        <v>248</v>
      </c>
    </row>
    <row r="157" spans="1:11" ht="15" customHeight="1">
      <c r="A157" s="32" t="str">
        <f t="shared" si="4"/>
        <v>DM10249</v>
      </c>
      <c r="B157" s="93">
        <f t="shared" si="5"/>
        <v>40250</v>
      </c>
      <c r="C157" s="41" t="s">
        <v>0</v>
      </c>
      <c r="D157" s="41"/>
      <c r="E157" s="10"/>
      <c r="F157" s="10"/>
      <c r="G157" s="10"/>
      <c r="H157" s="10"/>
      <c r="I157" s="80"/>
      <c r="J157" s="81"/>
      <c r="K157" s="6">
        <v>249</v>
      </c>
    </row>
    <row r="158" spans="1:11" ht="15" customHeight="1">
      <c r="A158" s="32" t="str">
        <f t="shared" si="4"/>
        <v>DM10250</v>
      </c>
      <c r="B158" s="93">
        <f t="shared" si="5"/>
        <v>40251</v>
      </c>
      <c r="C158" s="41" t="s">
        <v>0</v>
      </c>
      <c r="D158" s="41"/>
      <c r="E158" s="10"/>
      <c r="F158" s="10"/>
      <c r="G158" s="10"/>
      <c r="H158" s="10"/>
      <c r="I158" s="80"/>
      <c r="J158" s="81"/>
      <c r="K158" s="6">
        <v>250</v>
      </c>
    </row>
    <row r="159" spans="1:11" ht="15" customHeight="1">
      <c r="A159" s="32" t="str">
        <f t="shared" si="4"/>
        <v>DM10251</v>
      </c>
      <c r="B159" s="93">
        <f t="shared" si="5"/>
        <v>40252</v>
      </c>
      <c r="C159" s="41" t="s">
        <v>0</v>
      </c>
      <c r="D159" s="41"/>
      <c r="E159" s="10"/>
      <c r="F159" s="10"/>
      <c r="G159" s="10"/>
      <c r="H159" s="10"/>
      <c r="I159" s="80"/>
      <c r="J159" s="81"/>
      <c r="K159" s="6">
        <v>251</v>
      </c>
    </row>
    <row r="160" spans="1:11" ht="15" customHeight="1">
      <c r="A160" s="32" t="str">
        <f t="shared" si="4"/>
        <v>DM10252</v>
      </c>
      <c r="B160" s="93">
        <f t="shared" si="5"/>
        <v>40253</v>
      </c>
      <c r="C160" s="41" t="s">
        <v>0</v>
      </c>
      <c r="D160" s="41"/>
      <c r="E160" s="10"/>
      <c r="F160" s="10"/>
      <c r="G160" s="10"/>
      <c r="H160" s="10"/>
      <c r="I160" s="80"/>
      <c r="J160" s="81"/>
      <c r="K160" s="6">
        <v>252</v>
      </c>
    </row>
    <row r="161" spans="1:11" ht="15" customHeight="1">
      <c r="A161" s="32" t="str">
        <f t="shared" si="4"/>
        <v>DM10253</v>
      </c>
      <c r="B161" s="93">
        <f t="shared" si="5"/>
        <v>40254</v>
      </c>
      <c r="C161" s="41" t="s">
        <v>0</v>
      </c>
      <c r="D161" s="41"/>
      <c r="E161" s="10"/>
      <c r="F161" s="10"/>
      <c r="G161" s="10"/>
      <c r="H161" s="10"/>
      <c r="I161" s="80"/>
      <c r="J161" s="81"/>
      <c r="K161" s="6">
        <v>253</v>
      </c>
    </row>
    <row r="162" spans="1:11" ht="15" customHeight="1">
      <c r="A162" s="32" t="str">
        <f t="shared" si="4"/>
        <v>DM10254</v>
      </c>
      <c r="B162" s="93">
        <f t="shared" si="5"/>
        <v>40255</v>
      </c>
      <c r="C162" s="41" t="s">
        <v>0</v>
      </c>
      <c r="D162" s="41"/>
      <c r="E162" s="10"/>
      <c r="F162" s="10"/>
      <c r="G162" s="10"/>
      <c r="H162" s="10"/>
      <c r="I162" s="80"/>
      <c r="J162" s="81"/>
      <c r="K162" s="6">
        <v>254</v>
      </c>
    </row>
    <row r="163" spans="1:11" ht="15" customHeight="1">
      <c r="A163" s="32" t="str">
        <f t="shared" si="4"/>
        <v>DM10255</v>
      </c>
      <c r="B163" s="93">
        <f t="shared" si="5"/>
        <v>40256</v>
      </c>
      <c r="C163" s="41" t="s">
        <v>0</v>
      </c>
      <c r="D163" s="41"/>
      <c r="E163" s="10"/>
      <c r="F163" s="10"/>
      <c r="G163" s="10"/>
      <c r="H163" s="10"/>
      <c r="I163" s="80"/>
      <c r="J163" s="81"/>
      <c r="K163" s="6">
        <v>255</v>
      </c>
    </row>
    <row r="164" spans="1:11" ht="15" customHeight="1">
      <c r="A164" s="32" t="str">
        <f t="shared" si="4"/>
        <v>DM10256</v>
      </c>
      <c r="B164" s="93">
        <f t="shared" si="5"/>
        <v>40257</v>
      </c>
      <c r="C164" s="41" t="s">
        <v>0</v>
      </c>
      <c r="D164" s="41"/>
      <c r="E164" s="10"/>
      <c r="F164" s="10"/>
      <c r="G164" s="10"/>
      <c r="H164" s="10"/>
      <c r="I164" s="80"/>
      <c r="J164" s="81"/>
      <c r="K164" s="6">
        <v>256</v>
      </c>
    </row>
    <row r="165" spans="1:11" ht="15" customHeight="1">
      <c r="A165" s="32" t="str">
        <f t="shared" si="4"/>
        <v>DM10257</v>
      </c>
      <c r="B165" s="93">
        <f t="shared" si="5"/>
        <v>40258</v>
      </c>
      <c r="C165" s="41" t="s">
        <v>0</v>
      </c>
      <c r="D165" s="41"/>
      <c r="E165" s="10"/>
      <c r="F165" s="10"/>
      <c r="G165" s="10"/>
      <c r="H165" s="10"/>
      <c r="I165" s="80"/>
      <c r="J165" s="81"/>
      <c r="K165" s="6">
        <v>257</v>
      </c>
    </row>
    <row r="166" spans="1:11" ht="15" customHeight="1">
      <c r="A166" s="32" t="str">
        <f t="shared" si="4"/>
        <v>DM10258</v>
      </c>
      <c r="B166" s="93">
        <f t="shared" si="5"/>
        <v>40259</v>
      </c>
      <c r="C166" s="41" t="s">
        <v>0</v>
      </c>
      <c r="D166" s="41"/>
      <c r="E166" s="10"/>
      <c r="F166" s="10"/>
      <c r="G166" s="10"/>
      <c r="H166" s="10"/>
      <c r="I166" s="80"/>
      <c r="J166" s="81"/>
      <c r="K166" s="6">
        <v>258</v>
      </c>
    </row>
    <row r="167" spans="1:11" ht="15" customHeight="1">
      <c r="A167" s="32" t="str">
        <f t="shared" si="4"/>
        <v>DM10259</v>
      </c>
      <c r="B167" s="93">
        <f t="shared" si="5"/>
        <v>40260</v>
      </c>
      <c r="C167" s="41" t="s">
        <v>0</v>
      </c>
      <c r="D167" s="41"/>
      <c r="E167" s="10"/>
      <c r="F167" s="10"/>
      <c r="G167" s="10"/>
      <c r="H167" s="10"/>
      <c r="I167" s="80"/>
      <c r="J167" s="81"/>
      <c r="K167" s="6">
        <v>259</v>
      </c>
    </row>
    <row r="168" spans="1:11" ht="15" customHeight="1">
      <c r="A168" s="32" t="str">
        <f t="shared" si="4"/>
        <v>DM10260</v>
      </c>
      <c r="B168" s="93">
        <f t="shared" si="5"/>
        <v>40261</v>
      </c>
      <c r="C168" s="41" t="s">
        <v>0</v>
      </c>
      <c r="D168" s="41"/>
      <c r="E168" s="10"/>
      <c r="F168" s="10"/>
      <c r="G168" s="10"/>
      <c r="H168" s="10"/>
      <c r="I168" s="80"/>
      <c r="J168" s="81"/>
      <c r="K168" s="6">
        <v>260</v>
      </c>
    </row>
    <row r="169" spans="1:11" ht="15" customHeight="1">
      <c r="A169" s="32" t="str">
        <f t="shared" si="4"/>
        <v>DM10261</v>
      </c>
      <c r="B169" s="93">
        <f t="shared" si="5"/>
        <v>40262</v>
      </c>
      <c r="C169" s="41" t="s">
        <v>0</v>
      </c>
      <c r="D169" s="41"/>
      <c r="E169" s="10"/>
      <c r="F169" s="10"/>
      <c r="G169" s="10"/>
      <c r="H169" s="10"/>
      <c r="I169" s="80"/>
      <c r="J169" s="81"/>
      <c r="K169" s="6">
        <v>261</v>
      </c>
    </row>
    <row r="170" spans="1:11" ht="15" customHeight="1">
      <c r="A170" s="32" t="str">
        <f t="shared" si="4"/>
        <v>DM10262</v>
      </c>
      <c r="B170" s="93">
        <f t="shared" si="5"/>
        <v>40263</v>
      </c>
      <c r="C170" s="41" t="s">
        <v>0</v>
      </c>
      <c r="D170" s="41"/>
      <c r="E170" s="10"/>
      <c r="F170" s="10"/>
      <c r="G170" s="10"/>
      <c r="H170" s="10"/>
      <c r="I170" s="80"/>
      <c r="J170" s="81"/>
      <c r="K170" s="6">
        <v>262</v>
      </c>
    </row>
    <row r="171" spans="1:11" ht="15" customHeight="1">
      <c r="A171" s="32" t="str">
        <f t="shared" si="4"/>
        <v>DM10263</v>
      </c>
      <c r="B171" s="93">
        <f t="shared" si="5"/>
        <v>40264</v>
      </c>
      <c r="C171" s="41" t="s">
        <v>0</v>
      </c>
      <c r="D171" s="41"/>
      <c r="E171" s="10"/>
      <c r="F171" s="10"/>
      <c r="G171" s="10"/>
      <c r="H171" s="10"/>
      <c r="I171" s="80"/>
      <c r="J171" s="81"/>
      <c r="K171" s="6">
        <v>263</v>
      </c>
    </row>
    <row r="172" spans="1:11" ht="15" customHeight="1">
      <c r="A172" s="32" t="str">
        <f t="shared" si="4"/>
        <v>DM10264</v>
      </c>
      <c r="B172" s="93">
        <f t="shared" si="5"/>
        <v>40265</v>
      </c>
      <c r="C172" s="41" t="s">
        <v>0</v>
      </c>
      <c r="D172" s="41"/>
      <c r="E172" s="10"/>
      <c r="F172" s="10"/>
      <c r="G172" s="10"/>
      <c r="H172" s="10"/>
      <c r="I172" s="80"/>
      <c r="J172" s="81"/>
      <c r="K172" s="6">
        <v>264</v>
      </c>
    </row>
    <row r="173" spans="1:11" ht="15" customHeight="1">
      <c r="A173" s="32" t="str">
        <f t="shared" si="4"/>
        <v>DM10265</v>
      </c>
      <c r="B173" s="93">
        <f t="shared" si="5"/>
        <v>40266</v>
      </c>
      <c r="C173" s="41" t="s">
        <v>0</v>
      </c>
      <c r="D173" s="41"/>
      <c r="E173" s="10"/>
      <c r="F173" s="10"/>
      <c r="G173" s="10"/>
      <c r="H173" s="10"/>
      <c r="I173" s="80"/>
      <c r="J173" s="81"/>
      <c r="K173" s="6">
        <v>265</v>
      </c>
    </row>
    <row r="174" spans="1:11" ht="15" customHeight="1">
      <c r="A174" s="32" t="str">
        <f t="shared" si="4"/>
        <v>DM10266</v>
      </c>
      <c r="B174" s="93">
        <f t="shared" si="5"/>
        <v>40267</v>
      </c>
      <c r="C174" s="41" t="s">
        <v>0</v>
      </c>
      <c r="D174" s="41"/>
      <c r="E174" s="10"/>
      <c r="F174" s="10"/>
      <c r="G174" s="10"/>
      <c r="H174" s="10"/>
      <c r="I174" s="80"/>
      <c r="J174" s="81"/>
      <c r="K174" s="6">
        <v>266</v>
      </c>
    </row>
    <row r="175" spans="1:11" ht="15" customHeight="1">
      <c r="A175" s="32" t="str">
        <f t="shared" si="4"/>
        <v>DM10267</v>
      </c>
      <c r="B175" s="93">
        <f t="shared" si="5"/>
        <v>40268</v>
      </c>
      <c r="C175" s="41" t="s">
        <v>0</v>
      </c>
      <c r="D175" s="41"/>
      <c r="E175" s="10"/>
      <c r="F175" s="10"/>
      <c r="G175" s="10"/>
      <c r="H175" s="10"/>
      <c r="I175" s="80"/>
      <c r="J175" s="81"/>
      <c r="K175" s="6">
        <v>267</v>
      </c>
    </row>
    <row r="176" spans="1:11" ht="15" customHeight="1">
      <c r="A176" s="32" t="str">
        <f t="shared" si="4"/>
        <v>DM10268</v>
      </c>
      <c r="B176" s="93">
        <f t="shared" si="5"/>
        <v>40269</v>
      </c>
      <c r="C176" s="41" t="s">
        <v>0</v>
      </c>
      <c r="D176" s="41"/>
      <c r="E176" s="10"/>
      <c r="F176" s="10"/>
      <c r="G176" s="10"/>
      <c r="H176" s="10"/>
      <c r="I176" s="80"/>
      <c r="J176" s="81"/>
      <c r="K176" s="6">
        <v>268</v>
      </c>
    </row>
    <row r="177" spans="1:11" ht="15" customHeight="1">
      <c r="A177" s="32" t="str">
        <f t="shared" si="4"/>
        <v>DM10269</v>
      </c>
      <c r="B177" s="93">
        <f t="shared" si="5"/>
        <v>40270</v>
      </c>
      <c r="C177" s="41" t="s">
        <v>0</v>
      </c>
      <c r="D177" s="41"/>
      <c r="E177" s="10"/>
      <c r="F177" s="10"/>
      <c r="G177" s="10"/>
      <c r="H177" s="10"/>
      <c r="I177" s="80"/>
      <c r="J177" s="81"/>
      <c r="K177" s="6">
        <v>269</v>
      </c>
    </row>
    <row r="178" spans="1:11" ht="15" customHeight="1">
      <c r="A178" s="32" t="str">
        <f t="shared" si="4"/>
        <v>DM10270</v>
      </c>
      <c r="B178" s="93">
        <f t="shared" si="5"/>
        <v>40271</v>
      </c>
      <c r="C178" s="41" t="s">
        <v>0</v>
      </c>
      <c r="D178" s="41"/>
      <c r="E178" s="10"/>
      <c r="F178" s="10"/>
      <c r="G178" s="10"/>
      <c r="H178" s="10"/>
      <c r="I178" s="80"/>
      <c r="J178" s="81"/>
      <c r="K178" s="6">
        <v>270</v>
      </c>
    </row>
    <row r="179" spans="1:11" ht="15" customHeight="1">
      <c r="A179" s="32" t="str">
        <f t="shared" si="4"/>
        <v>DM10271</v>
      </c>
      <c r="B179" s="93">
        <f t="shared" si="5"/>
        <v>40272</v>
      </c>
      <c r="C179" s="41" t="s">
        <v>0</v>
      </c>
      <c r="D179" s="41"/>
      <c r="E179" s="10"/>
      <c r="F179" s="10"/>
      <c r="G179" s="10"/>
      <c r="H179" s="10"/>
      <c r="I179" s="80"/>
      <c r="J179" s="81"/>
      <c r="K179" s="6">
        <v>271</v>
      </c>
    </row>
    <row r="180" spans="1:11" ht="15" customHeight="1">
      <c r="A180" s="32" t="str">
        <f t="shared" si="4"/>
        <v>DM10272</v>
      </c>
      <c r="B180" s="93">
        <f t="shared" si="5"/>
        <v>40273</v>
      </c>
      <c r="C180" s="41" t="s">
        <v>0</v>
      </c>
      <c r="D180" s="41"/>
      <c r="E180" s="10"/>
      <c r="F180" s="10"/>
      <c r="G180" s="10"/>
      <c r="H180" s="10"/>
      <c r="I180" s="80"/>
      <c r="J180" s="81"/>
      <c r="K180" s="6">
        <v>272</v>
      </c>
    </row>
    <row r="181" spans="1:11" ht="15" customHeight="1">
      <c r="A181" s="32" t="str">
        <f t="shared" si="4"/>
        <v>DM10273</v>
      </c>
      <c r="B181" s="93">
        <f t="shared" si="5"/>
        <v>40274</v>
      </c>
      <c r="C181" s="41" t="s">
        <v>0</v>
      </c>
      <c r="D181" s="41"/>
      <c r="E181" s="10"/>
      <c r="F181" s="10"/>
      <c r="G181" s="10"/>
      <c r="H181" s="10"/>
      <c r="I181" s="80"/>
      <c r="J181" s="81"/>
      <c r="K181" s="6">
        <v>273</v>
      </c>
    </row>
    <row r="182" spans="1:11" ht="15" customHeight="1">
      <c r="A182" s="32" t="str">
        <f t="shared" si="4"/>
        <v>DM10274</v>
      </c>
      <c r="B182" s="93">
        <f t="shared" si="5"/>
        <v>40275</v>
      </c>
      <c r="C182" s="41" t="s">
        <v>0</v>
      </c>
      <c r="D182" s="41"/>
      <c r="E182" s="10"/>
      <c r="F182" s="10"/>
      <c r="G182" s="10"/>
      <c r="H182" s="10"/>
      <c r="I182" s="80"/>
      <c r="J182" s="81"/>
      <c r="K182" s="6">
        <v>274</v>
      </c>
    </row>
    <row r="183" spans="1:11" ht="15" customHeight="1">
      <c r="A183" s="32" t="str">
        <f t="shared" si="4"/>
        <v>DM10275</v>
      </c>
      <c r="B183" s="93">
        <f t="shared" si="5"/>
        <v>40276</v>
      </c>
      <c r="C183" s="41" t="s">
        <v>0</v>
      </c>
      <c r="D183" s="41"/>
      <c r="E183" s="10"/>
      <c r="F183" s="10"/>
      <c r="G183" s="10"/>
      <c r="H183" s="10"/>
      <c r="I183" s="80"/>
      <c r="J183" s="81"/>
      <c r="K183" s="6">
        <v>275</v>
      </c>
    </row>
    <row r="184" spans="1:11" ht="15" customHeight="1">
      <c r="A184" s="32" t="str">
        <f t="shared" si="4"/>
        <v>DM10276</v>
      </c>
      <c r="B184" s="93">
        <f t="shared" si="5"/>
        <v>40277</v>
      </c>
      <c r="C184" s="41" t="s">
        <v>0</v>
      </c>
      <c r="D184" s="41"/>
      <c r="E184" s="10"/>
      <c r="F184" s="10"/>
      <c r="G184" s="10"/>
      <c r="H184" s="10"/>
      <c r="I184" s="80"/>
      <c r="J184" s="81"/>
      <c r="K184" s="6">
        <v>276</v>
      </c>
    </row>
    <row r="185" spans="1:11" ht="15" customHeight="1">
      <c r="A185" s="32" t="str">
        <f t="shared" si="4"/>
        <v>DM10277</v>
      </c>
      <c r="B185" s="93">
        <f t="shared" si="5"/>
        <v>40278</v>
      </c>
      <c r="C185" s="41" t="s">
        <v>0</v>
      </c>
      <c r="D185" s="41"/>
      <c r="E185" s="10"/>
      <c r="F185" s="10"/>
      <c r="G185" s="10"/>
      <c r="H185" s="10"/>
      <c r="I185" s="80"/>
      <c r="J185" s="81"/>
      <c r="K185" s="6">
        <v>277</v>
      </c>
    </row>
    <row r="186" spans="1:11" ht="15" customHeight="1">
      <c r="A186" s="32" t="str">
        <f t="shared" ref="A186:A207" si="6">LEFT($D$3, 2) &amp; (MID($D$3, 3, LEN($D$3)) + K186)</f>
        <v>DM10278</v>
      </c>
      <c r="B186" s="93">
        <f t="shared" ref="B186:B207" si="7">$D$4+K186</f>
        <v>40279</v>
      </c>
      <c r="C186" s="41" t="s">
        <v>0</v>
      </c>
      <c r="D186" s="41"/>
      <c r="E186" s="10"/>
      <c r="F186" s="10"/>
      <c r="G186" s="10"/>
      <c r="H186" s="10"/>
      <c r="I186" s="80"/>
      <c r="J186" s="81"/>
      <c r="K186" s="6">
        <v>278</v>
      </c>
    </row>
    <row r="187" spans="1:11" ht="15" customHeight="1">
      <c r="A187" s="32" t="str">
        <f t="shared" si="6"/>
        <v>DM10279</v>
      </c>
      <c r="B187" s="93">
        <f t="shared" si="7"/>
        <v>40280</v>
      </c>
      <c r="C187" s="41" t="s">
        <v>0</v>
      </c>
      <c r="D187" s="41"/>
      <c r="E187" s="10"/>
      <c r="F187" s="10"/>
      <c r="G187" s="10"/>
      <c r="H187" s="10"/>
      <c r="I187" s="80"/>
      <c r="J187" s="81"/>
      <c r="K187" s="6">
        <v>279</v>
      </c>
    </row>
    <row r="188" spans="1:11" ht="15" customHeight="1">
      <c r="A188" s="32" t="str">
        <f t="shared" si="6"/>
        <v>DM10280</v>
      </c>
      <c r="B188" s="93">
        <f t="shared" si="7"/>
        <v>40281</v>
      </c>
      <c r="C188" s="41" t="s">
        <v>0</v>
      </c>
      <c r="D188" s="41"/>
      <c r="E188" s="10"/>
      <c r="F188" s="10"/>
      <c r="G188" s="10"/>
      <c r="H188" s="10"/>
      <c r="I188" s="80"/>
      <c r="J188" s="81"/>
      <c r="K188" s="6">
        <v>280</v>
      </c>
    </row>
    <row r="189" spans="1:11" ht="15" customHeight="1">
      <c r="A189" s="32" t="str">
        <f t="shared" si="6"/>
        <v>DM10281</v>
      </c>
      <c r="B189" s="93">
        <f t="shared" si="7"/>
        <v>40282</v>
      </c>
      <c r="C189" s="41" t="s">
        <v>0</v>
      </c>
      <c r="D189" s="41"/>
      <c r="E189" s="10"/>
      <c r="F189" s="10"/>
      <c r="G189" s="10"/>
      <c r="H189" s="10"/>
      <c r="I189" s="80"/>
      <c r="J189" s="81"/>
      <c r="K189" s="6">
        <v>281</v>
      </c>
    </row>
    <row r="190" spans="1:11" ht="15" customHeight="1">
      <c r="A190" s="32" t="str">
        <f t="shared" si="6"/>
        <v>DM10282</v>
      </c>
      <c r="B190" s="93">
        <f t="shared" si="7"/>
        <v>40283</v>
      </c>
      <c r="C190" s="41" t="s">
        <v>0</v>
      </c>
      <c r="D190" s="41"/>
      <c r="E190" s="10"/>
      <c r="F190" s="10"/>
      <c r="G190" s="10"/>
      <c r="H190" s="10"/>
      <c r="I190" s="80"/>
      <c r="J190" s="81"/>
      <c r="K190" s="6">
        <v>282</v>
      </c>
    </row>
    <row r="191" spans="1:11" ht="15" customHeight="1">
      <c r="A191" s="32" t="str">
        <f t="shared" si="6"/>
        <v>DM10283</v>
      </c>
      <c r="B191" s="93">
        <f t="shared" si="7"/>
        <v>40284</v>
      </c>
      <c r="C191" s="41" t="s">
        <v>0</v>
      </c>
      <c r="D191" s="41"/>
      <c r="E191" s="10"/>
      <c r="F191" s="10"/>
      <c r="G191" s="10"/>
      <c r="H191" s="10"/>
      <c r="I191" s="80"/>
      <c r="J191" s="81"/>
      <c r="K191" s="6">
        <v>283</v>
      </c>
    </row>
    <row r="192" spans="1:11" ht="15" customHeight="1">
      <c r="A192" s="32" t="str">
        <f t="shared" si="6"/>
        <v>DM10284</v>
      </c>
      <c r="B192" s="93">
        <f t="shared" si="7"/>
        <v>40285</v>
      </c>
      <c r="C192" s="41" t="s">
        <v>0</v>
      </c>
      <c r="D192" s="41"/>
      <c r="E192" s="10"/>
      <c r="F192" s="10"/>
      <c r="G192" s="10"/>
      <c r="H192" s="10"/>
      <c r="I192" s="80"/>
      <c r="J192" s="81"/>
      <c r="K192" s="6">
        <v>284</v>
      </c>
    </row>
    <row r="193" spans="1:11" ht="15" customHeight="1">
      <c r="A193" s="32" t="str">
        <f t="shared" si="6"/>
        <v>DM10285</v>
      </c>
      <c r="B193" s="93">
        <f t="shared" si="7"/>
        <v>40286</v>
      </c>
      <c r="C193" s="41" t="s">
        <v>0</v>
      </c>
      <c r="D193" s="41"/>
      <c r="E193" s="10"/>
      <c r="F193" s="10"/>
      <c r="G193" s="10"/>
      <c r="H193" s="10"/>
      <c r="I193" s="80"/>
      <c r="J193" s="81"/>
      <c r="K193" s="6">
        <v>285</v>
      </c>
    </row>
    <row r="194" spans="1:11" ht="15" customHeight="1">
      <c r="A194" s="32" t="str">
        <f t="shared" si="6"/>
        <v>DM10286</v>
      </c>
      <c r="B194" s="93">
        <f t="shared" si="7"/>
        <v>40287</v>
      </c>
      <c r="C194" s="41" t="s">
        <v>0</v>
      </c>
      <c r="D194" s="41"/>
      <c r="E194" s="10"/>
      <c r="F194" s="10"/>
      <c r="G194" s="10"/>
      <c r="H194" s="10"/>
      <c r="I194" s="80"/>
      <c r="J194" s="81"/>
      <c r="K194" s="6">
        <v>286</v>
      </c>
    </row>
    <row r="195" spans="1:11" ht="15" customHeight="1">
      <c r="A195" s="32" t="str">
        <f t="shared" si="6"/>
        <v>DM10287</v>
      </c>
      <c r="B195" s="93">
        <f t="shared" si="7"/>
        <v>40288</v>
      </c>
      <c r="C195" s="41" t="s">
        <v>0</v>
      </c>
      <c r="D195" s="41"/>
      <c r="E195" s="10"/>
      <c r="F195" s="10"/>
      <c r="G195" s="10"/>
      <c r="H195" s="10"/>
      <c r="I195" s="80"/>
      <c r="J195" s="81"/>
      <c r="K195" s="6">
        <v>287</v>
      </c>
    </row>
    <row r="196" spans="1:11" ht="15" customHeight="1">
      <c r="A196" s="32" t="str">
        <f t="shared" si="6"/>
        <v>DM10288</v>
      </c>
      <c r="B196" s="93">
        <f t="shared" si="7"/>
        <v>40289</v>
      </c>
      <c r="C196" s="41" t="s">
        <v>0</v>
      </c>
      <c r="D196" s="41"/>
      <c r="E196" s="10"/>
      <c r="F196" s="10"/>
      <c r="G196" s="10"/>
      <c r="H196" s="10"/>
      <c r="I196" s="80"/>
      <c r="J196" s="81"/>
      <c r="K196" s="6">
        <v>288</v>
      </c>
    </row>
    <row r="197" spans="1:11" ht="15" customHeight="1">
      <c r="A197" s="32" t="str">
        <f t="shared" si="6"/>
        <v>DM10289</v>
      </c>
      <c r="B197" s="93">
        <f t="shared" si="7"/>
        <v>40290</v>
      </c>
      <c r="C197" s="41" t="s">
        <v>0</v>
      </c>
      <c r="D197" s="41"/>
      <c r="E197" s="10"/>
      <c r="F197" s="10"/>
      <c r="G197" s="10"/>
      <c r="H197" s="10"/>
      <c r="I197" s="80"/>
      <c r="J197" s="81"/>
      <c r="K197" s="6">
        <v>289</v>
      </c>
    </row>
    <row r="198" spans="1:11" ht="15" customHeight="1">
      <c r="A198" s="32" t="str">
        <f t="shared" si="6"/>
        <v>DM10290</v>
      </c>
      <c r="B198" s="93">
        <f t="shared" si="7"/>
        <v>40291</v>
      </c>
      <c r="C198" s="41" t="s">
        <v>0</v>
      </c>
      <c r="D198" s="41"/>
      <c r="E198" s="10"/>
      <c r="F198" s="10"/>
      <c r="G198" s="10"/>
      <c r="H198" s="10"/>
      <c r="I198" s="80"/>
      <c r="J198" s="81"/>
      <c r="K198" s="6">
        <v>290</v>
      </c>
    </row>
    <row r="199" spans="1:11" ht="15" customHeight="1">
      <c r="A199" s="32" t="str">
        <f t="shared" si="6"/>
        <v>DM10291</v>
      </c>
      <c r="B199" s="93">
        <f t="shared" si="7"/>
        <v>40292</v>
      </c>
      <c r="C199" s="41" t="s">
        <v>0</v>
      </c>
      <c r="D199" s="41"/>
      <c r="E199" s="10"/>
      <c r="F199" s="10"/>
      <c r="G199" s="10"/>
      <c r="H199" s="10"/>
      <c r="I199" s="80"/>
      <c r="J199" s="81"/>
      <c r="K199" s="6">
        <v>291</v>
      </c>
    </row>
    <row r="200" spans="1:11" ht="15" customHeight="1">
      <c r="A200" s="32" t="str">
        <f t="shared" si="6"/>
        <v>DM10292</v>
      </c>
      <c r="B200" s="93">
        <f t="shared" si="7"/>
        <v>40293</v>
      </c>
      <c r="C200" s="41" t="s">
        <v>0</v>
      </c>
      <c r="D200" s="41"/>
      <c r="E200" s="10"/>
      <c r="F200" s="10"/>
      <c r="G200" s="10"/>
      <c r="H200" s="10"/>
      <c r="I200" s="80"/>
      <c r="J200" s="81"/>
      <c r="K200" s="6">
        <v>292</v>
      </c>
    </row>
    <row r="201" spans="1:11" ht="15" customHeight="1">
      <c r="A201" s="32" t="str">
        <f t="shared" si="6"/>
        <v>DM10293</v>
      </c>
      <c r="B201" s="93">
        <f t="shared" si="7"/>
        <v>40294</v>
      </c>
      <c r="C201" s="41" t="s">
        <v>0</v>
      </c>
      <c r="D201" s="41"/>
      <c r="E201" s="10"/>
      <c r="F201" s="10"/>
      <c r="G201" s="10"/>
      <c r="H201" s="10"/>
      <c r="I201" s="80"/>
      <c r="J201" s="81"/>
      <c r="K201" s="6">
        <v>293</v>
      </c>
    </row>
    <row r="202" spans="1:11" ht="15" customHeight="1">
      <c r="A202" s="32" t="str">
        <f t="shared" si="6"/>
        <v>DM10294</v>
      </c>
      <c r="B202" s="93">
        <f t="shared" si="7"/>
        <v>40295</v>
      </c>
      <c r="C202" s="41" t="s">
        <v>0</v>
      </c>
      <c r="D202" s="41"/>
      <c r="E202" s="10"/>
      <c r="F202" s="10"/>
      <c r="G202" s="10"/>
      <c r="H202" s="10"/>
      <c r="I202" s="80"/>
      <c r="J202" s="81"/>
      <c r="K202" s="6">
        <v>294</v>
      </c>
    </row>
    <row r="203" spans="1:11" ht="15" customHeight="1">
      <c r="A203" s="32" t="str">
        <f t="shared" si="6"/>
        <v>DM10295</v>
      </c>
      <c r="B203" s="93">
        <f t="shared" si="7"/>
        <v>40296</v>
      </c>
      <c r="C203" s="41" t="s">
        <v>0</v>
      </c>
      <c r="D203" s="41"/>
      <c r="E203" s="10"/>
      <c r="F203" s="10"/>
      <c r="G203" s="10"/>
      <c r="H203" s="10"/>
      <c r="I203" s="80"/>
      <c r="J203" s="81"/>
      <c r="K203" s="6">
        <v>295</v>
      </c>
    </row>
    <row r="204" spans="1:11" ht="15" customHeight="1">
      <c r="A204" s="32" t="str">
        <f t="shared" si="6"/>
        <v>DM10296</v>
      </c>
      <c r="B204" s="93">
        <f t="shared" si="7"/>
        <v>40297</v>
      </c>
      <c r="C204" s="41" t="s">
        <v>0</v>
      </c>
      <c r="D204" s="41"/>
      <c r="E204" s="10"/>
      <c r="F204" s="10"/>
      <c r="G204" s="10"/>
      <c r="H204" s="10"/>
      <c r="I204" s="80"/>
      <c r="J204" s="81"/>
      <c r="K204" s="6">
        <v>296</v>
      </c>
    </row>
    <row r="205" spans="1:11" ht="15" customHeight="1">
      <c r="A205" s="32" t="str">
        <f t="shared" si="6"/>
        <v>DM10297</v>
      </c>
      <c r="B205" s="93">
        <f t="shared" si="7"/>
        <v>40298</v>
      </c>
      <c r="C205" s="41" t="s">
        <v>0</v>
      </c>
      <c r="D205" s="41"/>
      <c r="E205" s="10"/>
      <c r="F205" s="10"/>
      <c r="G205" s="10"/>
      <c r="H205" s="10"/>
      <c r="I205" s="80"/>
      <c r="J205" s="81"/>
      <c r="K205" s="6">
        <v>297</v>
      </c>
    </row>
    <row r="206" spans="1:11" ht="15" customHeight="1">
      <c r="A206" s="32" t="str">
        <f t="shared" si="6"/>
        <v>DM10298</v>
      </c>
      <c r="B206" s="93">
        <f t="shared" si="7"/>
        <v>40299</v>
      </c>
      <c r="C206" s="41" t="s">
        <v>0</v>
      </c>
      <c r="D206" s="41"/>
      <c r="E206" s="10"/>
      <c r="F206" s="10"/>
      <c r="G206" s="10"/>
      <c r="H206" s="10"/>
      <c r="I206" s="80"/>
      <c r="J206" s="81"/>
      <c r="K206" s="6">
        <v>298</v>
      </c>
    </row>
    <row r="207" spans="1:11" ht="15" customHeight="1">
      <c r="A207" s="32" t="str">
        <f t="shared" si="6"/>
        <v>DM10299</v>
      </c>
      <c r="B207" s="93">
        <f t="shared" si="7"/>
        <v>40300</v>
      </c>
      <c r="C207" s="41" t="s">
        <v>0</v>
      </c>
      <c r="D207" s="41"/>
      <c r="E207" s="10"/>
      <c r="F207" s="10"/>
      <c r="G207" s="10"/>
      <c r="H207" s="10"/>
      <c r="I207" s="80"/>
      <c r="J207" s="81"/>
      <c r="K207" s="6">
        <v>299</v>
      </c>
    </row>
  </sheetData>
  <mergeCells count="247">
    <mergeCell ref="A6:J6"/>
    <mergeCell ref="C1:J1"/>
    <mergeCell ref="E2:J2"/>
    <mergeCell ref="A3:C3"/>
    <mergeCell ref="A4:C4"/>
    <mergeCell ref="E5:H5"/>
    <mergeCell ref="E30:F30"/>
    <mergeCell ref="G30:H30"/>
    <mergeCell ref="E31:F31"/>
    <mergeCell ref="G31:H31"/>
    <mergeCell ref="E32:F32"/>
    <mergeCell ref="G32:H32"/>
    <mergeCell ref="E28:F28"/>
    <mergeCell ref="G28:H28"/>
    <mergeCell ref="E29:F29"/>
    <mergeCell ref="G29:H29"/>
    <mergeCell ref="E41:F41"/>
    <mergeCell ref="G41:H41"/>
    <mergeCell ref="E36:F36"/>
    <mergeCell ref="G36:H36"/>
    <mergeCell ref="E37:F37"/>
    <mergeCell ref="G37:H37"/>
    <mergeCell ref="E38:F38"/>
    <mergeCell ref="G38:H38"/>
    <mergeCell ref="E33:F33"/>
    <mergeCell ref="G33:H33"/>
    <mergeCell ref="E34:F34"/>
    <mergeCell ref="G34:H34"/>
    <mergeCell ref="E35:F35"/>
    <mergeCell ref="G35:H35"/>
    <mergeCell ref="G60:H60"/>
    <mergeCell ref="E61:F61"/>
    <mergeCell ref="G61:H61"/>
    <mergeCell ref="G66:H66"/>
    <mergeCell ref="E67:F67"/>
    <mergeCell ref="G67:H67"/>
    <mergeCell ref="C58:C67"/>
    <mergeCell ref="E58:F58"/>
    <mergeCell ref="G58:H58"/>
    <mergeCell ref="E59:F59"/>
    <mergeCell ref="G59:H59"/>
    <mergeCell ref="E60:F60"/>
    <mergeCell ref="E62:F62"/>
    <mergeCell ref="G62:H62"/>
    <mergeCell ref="E63:F63"/>
    <mergeCell ref="G63:H63"/>
    <mergeCell ref="E64:F64"/>
    <mergeCell ref="G64:H64"/>
    <mergeCell ref="E65:F65"/>
    <mergeCell ref="G65:H65"/>
    <mergeCell ref="E66:F66"/>
    <mergeCell ref="E72:F72"/>
    <mergeCell ref="G72:H72"/>
    <mergeCell ref="E73:F73"/>
    <mergeCell ref="G73:H73"/>
    <mergeCell ref="E68:F68"/>
    <mergeCell ref="G68:H68"/>
    <mergeCell ref="E69:F69"/>
    <mergeCell ref="G69:H69"/>
    <mergeCell ref="E70:F70"/>
    <mergeCell ref="G70:H70"/>
    <mergeCell ref="E86:F86"/>
    <mergeCell ref="G86:H86"/>
    <mergeCell ref="E87:F87"/>
    <mergeCell ref="G87:H87"/>
    <mergeCell ref="E77:F77"/>
    <mergeCell ref="G77:H77"/>
    <mergeCell ref="E78:F78"/>
    <mergeCell ref="G78:H78"/>
    <mergeCell ref="E79:F79"/>
    <mergeCell ref="G79:H79"/>
    <mergeCell ref="E82:F82"/>
    <mergeCell ref="G82:H82"/>
    <mergeCell ref="E83:F83"/>
    <mergeCell ref="G83:H83"/>
    <mergeCell ref="E84:F84"/>
    <mergeCell ref="G84:H84"/>
    <mergeCell ref="E85:F85"/>
    <mergeCell ref="G85:H85"/>
    <mergeCell ref="E80:F80"/>
    <mergeCell ref="G80:H80"/>
    <mergeCell ref="E81:F81"/>
    <mergeCell ref="G81:H81"/>
    <mergeCell ref="E91:F91"/>
    <mergeCell ref="G91:H91"/>
    <mergeCell ref="E92:F92"/>
    <mergeCell ref="G92:H92"/>
    <mergeCell ref="E93:F93"/>
    <mergeCell ref="G93:H93"/>
    <mergeCell ref="E88:F88"/>
    <mergeCell ref="G88:H88"/>
    <mergeCell ref="E89:F89"/>
    <mergeCell ref="G89:H89"/>
    <mergeCell ref="E90:F90"/>
    <mergeCell ref="G90:H90"/>
    <mergeCell ref="E97:F97"/>
    <mergeCell ref="G97:H97"/>
    <mergeCell ref="E98:F98"/>
    <mergeCell ref="G98:H98"/>
    <mergeCell ref="E99:F99"/>
    <mergeCell ref="G99:H99"/>
    <mergeCell ref="E94:F94"/>
    <mergeCell ref="G94:H94"/>
    <mergeCell ref="E95:F95"/>
    <mergeCell ref="G95:H95"/>
    <mergeCell ref="E96:F96"/>
    <mergeCell ref="G96:H96"/>
    <mergeCell ref="E125:F125"/>
    <mergeCell ref="G125:H125"/>
    <mergeCell ref="E126:F126"/>
    <mergeCell ref="G126:H126"/>
    <mergeCell ref="E127:F127"/>
    <mergeCell ref="G127:H127"/>
    <mergeCell ref="E108:F108"/>
    <mergeCell ref="G108:H108"/>
    <mergeCell ref="E109:F109"/>
    <mergeCell ref="G109:H109"/>
    <mergeCell ref="E110:F110"/>
    <mergeCell ref="G110:H110"/>
    <mergeCell ref="I38:I47"/>
    <mergeCell ref="J38:J47"/>
    <mergeCell ref="E45:F45"/>
    <mergeCell ref="G45:H45"/>
    <mergeCell ref="E46:F46"/>
    <mergeCell ref="G46:H46"/>
    <mergeCell ref="E47:F47"/>
    <mergeCell ref="G47:H47"/>
    <mergeCell ref="C28:C37"/>
    <mergeCell ref="D28:D37"/>
    <mergeCell ref="I28:I37"/>
    <mergeCell ref="J28:J37"/>
    <mergeCell ref="C38:C47"/>
    <mergeCell ref="D38:D47"/>
    <mergeCell ref="E42:F42"/>
    <mergeCell ref="G42:H42"/>
    <mergeCell ref="E43:F43"/>
    <mergeCell ref="G43:H43"/>
    <mergeCell ref="E44:F44"/>
    <mergeCell ref="G44:H44"/>
    <mergeCell ref="E39:F39"/>
    <mergeCell ref="G39:H39"/>
    <mergeCell ref="E40:F40"/>
    <mergeCell ref="G40:H40"/>
    <mergeCell ref="E52:F52"/>
    <mergeCell ref="G52:H52"/>
    <mergeCell ref="E53:F53"/>
    <mergeCell ref="G53:H53"/>
    <mergeCell ref="E54:F54"/>
    <mergeCell ref="G54:H54"/>
    <mergeCell ref="E48:F48"/>
    <mergeCell ref="G48:H48"/>
    <mergeCell ref="I48:I57"/>
    <mergeCell ref="E49:F49"/>
    <mergeCell ref="G49:H49"/>
    <mergeCell ref="E50:F50"/>
    <mergeCell ref="G50:H50"/>
    <mergeCell ref="E51:F51"/>
    <mergeCell ref="G51:H51"/>
    <mergeCell ref="D58:D67"/>
    <mergeCell ref="I58:I67"/>
    <mergeCell ref="J58:J67"/>
    <mergeCell ref="C68:C77"/>
    <mergeCell ref="D68:D77"/>
    <mergeCell ref="I68:I77"/>
    <mergeCell ref="J68:J77"/>
    <mergeCell ref="E55:F55"/>
    <mergeCell ref="G55:H55"/>
    <mergeCell ref="E56:F56"/>
    <mergeCell ref="G56:H56"/>
    <mergeCell ref="E57:F57"/>
    <mergeCell ref="G57:H57"/>
    <mergeCell ref="J48:J57"/>
    <mergeCell ref="C48:C57"/>
    <mergeCell ref="D48:D57"/>
    <mergeCell ref="E74:F74"/>
    <mergeCell ref="G74:H74"/>
    <mergeCell ref="E75:F75"/>
    <mergeCell ref="G75:H75"/>
    <mergeCell ref="E76:F76"/>
    <mergeCell ref="G76:H76"/>
    <mergeCell ref="E71:F71"/>
    <mergeCell ref="G71:H71"/>
    <mergeCell ref="I98:I107"/>
    <mergeCell ref="J98:J107"/>
    <mergeCell ref="C108:C117"/>
    <mergeCell ref="D108:D117"/>
    <mergeCell ref="I108:I117"/>
    <mergeCell ref="J108:J117"/>
    <mergeCell ref="E111:F111"/>
    <mergeCell ref="G111:H111"/>
    <mergeCell ref="C78:C87"/>
    <mergeCell ref="D78:D87"/>
    <mergeCell ref="I78:I87"/>
    <mergeCell ref="J78:J87"/>
    <mergeCell ref="C88:C97"/>
    <mergeCell ref="D88:D97"/>
    <mergeCell ref="I88:I97"/>
    <mergeCell ref="J88:J97"/>
    <mergeCell ref="E102:F102"/>
    <mergeCell ref="G102:H102"/>
    <mergeCell ref="E103:F103"/>
    <mergeCell ref="G103:H103"/>
    <mergeCell ref="E104:F104"/>
    <mergeCell ref="G104:H104"/>
    <mergeCell ref="E105:F105"/>
    <mergeCell ref="G105:H105"/>
    <mergeCell ref="G117:H117"/>
    <mergeCell ref="E112:F112"/>
    <mergeCell ref="G112:H112"/>
    <mergeCell ref="E113:F113"/>
    <mergeCell ref="G113:H113"/>
    <mergeCell ref="E114:F114"/>
    <mergeCell ref="G114:H114"/>
    <mergeCell ref="C98:C107"/>
    <mergeCell ref="D98:D107"/>
    <mergeCell ref="E100:F100"/>
    <mergeCell ref="G100:H100"/>
    <mergeCell ref="E101:F101"/>
    <mergeCell ref="G101:H101"/>
    <mergeCell ref="E106:F106"/>
    <mergeCell ref="G106:H106"/>
    <mergeCell ref="E107:F107"/>
    <mergeCell ref="G107:H107"/>
    <mergeCell ref="E124:F124"/>
    <mergeCell ref="G124:H124"/>
    <mergeCell ref="A27:J27"/>
    <mergeCell ref="E121:F121"/>
    <mergeCell ref="G121:H121"/>
    <mergeCell ref="E122:F122"/>
    <mergeCell ref="G122:H122"/>
    <mergeCell ref="E123:F123"/>
    <mergeCell ref="G123:H123"/>
    <mergeCell ref="C118:C127"/>
    <mergeCell ref="D118:D127"/>
    <mergeCell ref="E118:F118"/>
    <mergeCell ref="G118:H118"/>
    <mergeCell ref="I118:I127"/>
    <mergeCell ref="J118:J127"/>
    <mergeCell ref="E119:F119"/>
    <mergeCell ref="G119:H119"/>
    <mergeCell ref="E120:F120"/>
    <mergeCell ref="G120:H120"/>
    <mergeCell ref="E115:F115"/>
    <mergeCell ref="G115:H115"/>
    <mergeCell ref="E116:F116"/>
    <mergeCell ref="G116:H116"/>
    <mergeCell ref="E117:F117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scale="60" orientation="portrait" horizontalDpi="4294967292" verticalDpi="200" r:id="rId1"/>
  <headerFooter alignWithMargins="0">
    <oddFooter>&amp;C&amp;"Times New Roman,標準"&amp;P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EC15C-1DB6-4489-A2A6-9DC5FF1C24FD}">
  <dimension ref="A1:K398"/>
  <sheetViews>
    <sheetView showGridLines="0" topLeftCell="A229" zoomScale="85" zoomScaleNormal="85" zoomScaleSheetLayoutView="75" workbookViewId="0">
      <selection activeCell="O286" sqref="O286"/>
    </sheetView>
  </sheetViews>
  <sheetFormatPr defaultColWidth="9" defaultRowHeight="15"/>
  <cols>
    <col min="1" max="1" width="12" style="6" bestFit="1" customWidth="1"/>
    <col min="2" max="2" width="12" style="6" customWidth="1"/>
    <col min="3" max="3" width="33.125" style="6" customWidth="1"/>
    <col min="4" max="4" width="17" style="6" customWidth="1"/>
    <col min="5" max="8" width="8" style="46" customWidth="1"/>
    <col min="9" max="9" width="33" style="6" bestFit="1" customWidth="1"/>
    <col min="10" max="10" width="25.625" style="6" customWidth="1"/>
    <col min="11" max="16384" width="9" style="6"/>
  </cols>
  <sheetData>
    <row r="1" spans="1:11">
      <c r="A1" s="50" t="s">
        <v>8</v>
      </c>
      <c r="B1" s="90"/>
      <c r="C1" s="153" t="s">
        <v>50</v>
      </c>
      <c r="D1" s="154"/>
      <c r="E1" s="154"/>
      <c r="F1" s="154"/>
      <c r="G1" s="154"/>
      <c r="H1" s="154"/>
      <c r="I1" s="154"/>
      <c r="J1" s="155"/>
    </row>
    <row r="2" spans="1:11">
      <c r="A2" s="50"/>
      <c r="B2" s="50"/>
      <c r="C2" s="36" t="s">
        <v>9</v>
      </c>
      <c r="D2" s="63"/>
      <c r="E2" s="156" t="str">
        <f>Cover!C13</f>
        <v>CIM Equipment spec.</v>
      </c>
      <c r="F2" s="156"/>
      <c r="G2" s="156"/>
      <c r="H2" s="156"/>
      <c r="I2" s="156"/>
      <c r="J2" s="157"/>
    </row>
    <row r="3" spans="1:11" ht="15" customHeight="1">
      <c r="A3" s="158" t="s">
        <v>192</v>
      </c>
      <c r="B3" s="159"/>
      <c r="C3" s="159"/>
      <c r="D3" s="58" t="s">
        <v>256</v>
      </c>
      <c r="E3" s="58"/>
      <c r="G3" s="6"/>
      <c r="H3" s="6"/>
      <c r="J3" s="37"/>
    </row>
    <row r="4" spans="1:11" ht="15.6" customHeight="1">
      <c r="A4" s="160" t="s">
        <v>193</v>
      </c>
      <c r="B4" s="161"/>
      <c r="C4" s="161"/>
      <c r="D4" s="92">
        <v>41001</v>
      </c>
      <c r="E4" s="57"/>
      <c r="F4" s="57"/>
      <c r="G4" s="57"/>
      <c r="H4" s="57"/>
      <c r="I4" s="57"/>
      <c r="J4" s="31"/>
    </row>
    <row r="5" spans="1:11" ht="30.75" thickBot="1">
      <c r="A5" s="38" t="s">
        <v>190</v>
      </c>
      <c r="B5" s="91" t="s">
        <v>191</v>
      </c>
      <c r="C5" s="39" t="s">
        <v>4</v>
      </c>
      <c r="D5" s="39" t="s">
        <v>53</v>
      </c>
      <c r="E5" s="162" t="s">
        <v>52</v>
      </c>
      <c r="F5" s="163"/>
      <c r="G5" s="163"/>
      <c r="H5" s="164"/>
      <c r="I5" s="30" t="s">
        <v>5</v>
      </c>
      <c r="J5" s="40" t="s">
        <v>6</v>
      </c>
    </row>
    <row r="6" spans="1:11" ht="15.6" customHeight="1">
      <c r="A6" s="141" t="s">
        <v>195</v>
      </c>
      <c r="B6" s="142"/>
      <c r="C6" s="142"/>
      <c r="D6" s="142"/>
      <c r="E6" s="142"/>
      <c r="F6" s="142"/>
      <c r="G6" s="142"/>
      <c r="H6" s="142"/>
      <c r="I6" s="142"/>
      <c r="J6" s="143"/>
    </row>
    <row r="7" spans="1:11" ht="151.5" customHeight="1">
      <c r="A7" s="32" t="str">
        <f t="shared" ref="A7:A12" si="0">LEFT($D$3, 2) &amp; (MID($D$3, 3, LEN($D$3)) + K7)</f>
        <v>DM11000</v>
      </c>
      <c r="B7" s="93">
        <f>$D$4+K7</f>
        <v>41001</v>
      </c>
      <c r="C7" s="59" t="s">
        <v>51</v>
      </c>
      <c r="D7" s="66" t="s">
        <v>81</v>
      </c>
      <c r="E7" s="60" t="s">
        <v>2</v>
      </c>
      <c r="F7" s="61" t="s">
        <v>2</v>
      </c>
      <c r="G7" s="45" t="s">
        <v>201</v>
      </c>
      <c r="H7" s="45" t="s">
        <v>54</v>
      </c>
      <c r="I7" s="65" t="s">
        <v>215</v>
      </c>
      <c r="J7" s="33" t="s">
        <v>48</v>
      </c>
      <c r="K7" s="110" t="s">
        <v>181</v>
      </c>
    </row>
    <row r="8" spans="1:11" ht="151.5" customHeight="1">
      <c r="A8" s="32" t="str">
        <f t="shared" si="0"/>
        <v>DM11001</v>
      </c>
      <c r="B8" s="93">
        <f>$D$4+K8</f>
        <v>41002</v>
      </c>
      <c r="C8" s="42" t="s">
        <v>55</v>
      </c>
      <c r="D8" s="42" t="s">
        <v>116</v>
      </c>
      <c r="E8" s="60">
        <v>0</v>
      </c>
      <c r="F8" s="61" t="s">
        <v>2</v>
      </c>
      <c r="G8" s="99" t="s">
        <v>201</v>
      </c>
      <c r="H8" s="45" t="s">
        <v>54</v>
      </c>
      <c r="I8" s="65" t="s">
        <v>202</v>
      </c>
      <c r="J8" s="33" t="s">
        <v>3</v>
      </c>
      <c r="K8" s="110" t="s">
        <v>178</v>
      </c>
    </row>
    <row r="9" spans="1:11" ht="151.5" customHeight="1">
      <c r="A9" s="32" t="str">
        <f t="shared" si="0"/>
        <v>DM11002</v>
      </c>
      <c r="B9" s="93">
        <f t="shared" ref="B9:B63" si="1">$D$4+K9</f>
        <v>41003</v>
      </c>
      <c r="C9" s="62" t="s">
        <v>56</v>
      </c>
      <c r="D9" s="66" t="s">
        <v>116</v>
      </c>
      <c r="E9" s="60" t="s">
        <v>176</v>
      </c>
      <c r="F9" s="61">
        <v>0</v>
      </c>
      <c r="G9" s="61">
        <v>0</v>
      </c>
      <c r="H9" s="45" t="s">
        <v>196</v>
      </c>
      <c r="I9" s="67" t="s">
        <v>197</v>
      </c>
      <c r="J9" s="44"/>
      <c r="K9" s="110" t="s">
        <v>179</v>
      </c>
    </row>
    <row r="10" spans="1:11" ht="151.5" customHeight="1">
      <c r="A10" s="32" t="str">
        <f t="shared" si="0"/>
        <v>DM11003</v>
      </c>
      <c r="B10" s="93">
        <f t="shared" si="1"/>
        <v>41004</v>
      </c>
      <c r="C10" s="62" t="s">
        <v>57</v>
      </c>
      <c r="D10" s="66" t="s">
        <v>81</v>
      </c>
      <c r="E10" s="60">
        <v>0</v>
      </c>
      <c r="F10" s="61">
        <v>0</v>
      </c>
      <c r="G10" s="61">
        <v>0</v>
      </c>
      <c r="H10" s="45" t="s">
        <v>196</v>
      </c>
      <c r="I10" s="67" t="s">
        <v>197</v>
      </c>
      <c r="J10" s="43"/>
      <c r="K10" s="110" t="s">
        <v>180</v>
      </c>
    </row>
    <row r="11" spans="1:11" ht="151.5" customHeight="1">
      <c r="A11" s="32" t="str">
        <f t="shared" si="0"/>
        <v>DM11004</v>
      </c>
      <c r="B11" s="93">
        <f t="shared" ref="B11" si="2">$D$4+K11</f>
        <v>41005</v>
      </c>
      <c r="C11" s="62" t="s">
        <v>214</v>
      </c>
      <c r="D11" s="66" t="s">
        <v>81</v>
      </c>
      <c r="E11" s="60">
        <v>0</v>
      </c>
      <c r="F11" s="61">
        <v>0</v>
      </c>
      <c r="G11" s="61">
        <v>0</v>
      </c>
      <c r="H11" s="114" t="s">
        <v>196</v>
      </c>
      <c r="I11" s="67" t="s">
        <v>216</v>
      </c>
      <c r="J11" s="43"/>
      <c r="K11" s="110" t="s">
        <v>213</v>
      </c>
    </row>
    <row r="12" spans="1:11" ht="151.5" customHeight="1" thickBot="1">
      <c r="A12" s="32" t="str">
        <f t="shared" si="0"/>
        <v>DM11005</v>
      </c>
      <c r="B12" s="93">
        <f t="shared" ref="B12" si="3">$D$4+K12</f>
        <v>41006</v>
      </c>
      <c r="C12" s="62" t="s">
        <v>218</v>
      </c>
      <c r="D12" s="66" t="s">
        <v>116</v>
      </c>
      <c r="E12" s="60">
        <v>0</v>
      </c>
      <c r="F12" s="61">
        <v>0</v>
      </c>
      <c r="G12" s="61">
        <v>0</v>
      </c>
      <c r="H12" s="114" t="s">
        <v>196</v>
      </c>
      <c r="I12" s="67" t="s">
        <v>219</v>
      </c>
      <c r="J12" s="43"/>
      <c r="K12" s="110" t="s">
        <v>217</v>
      </c>
    </row>
    <row r="13" spans="1:11" ht="15.6" customHeight="1">
      <c r="A13" s="141" t="s">
        <v>118</v>
      </c>
      <c r="B13" s="142"/>
      <c r="C13" s="142"/>
      <c r="D13" s="142"/>
      <c r="E13" s="142"/>
      <c r="F13" s="142"/>
      <c r="G13" s="142"/>
      <c r="H13" s="142"/>
      <c r="I13" s="142"/>
      <c r="J13" s="143"/>
    </row>
    <row r="14" spans="1:11">
      <c r="A14" s="32" t="str">
        <f t="shared" ref="A14:A45" si="4">LEFT($D$3, 2) &amp; (MID($D$3, 3, LEN($D$3)) + K14)</f>
        <v>DM11100</v>
      </c>
      <c r="B14" s="93">
        <f t="shared" si="1"/>
        <v>41101</v>
      </c>
      <c r="C14" s="144" t="s">
        <v>59</v>
      </c>
      <c r="D14" s="144" t="s">
        <v>81</v>
      </c>
      <c r="E14" s="139" t="s">
        <v>25</v>
      </c>
      <c r="F14" s="140"/>
      <c r="G14" s="139" t="s">
        <v>65</v>
      </c>
      <c r="H14" s="140"/>
      <c r="I14" s="147" t="s">
        <v>60</v>
      </c>
      <c r="J14" s="150" t="s">
        <v>82</v>
      </c>
      <c r="K14" s="6">
        <v>100</v>
      </c>
    </row>
    <row r="15" spans="1:11">
      <c r="A15" s="32" t="str">
        <f t="shared" si="4"/>
        <v>DM11101</v>
      </c>
      <c r="B15" s="93">
        <f t="shared" si="1"/>
        <v>41102</v>
      </c>
      <c r="C15" s="145"/>
      <c r="D15" s="145"/>
      <c r="E15" s="139" t="s">
        <v>26</v>
      </c>
      <c r="F15" s="140"/>
      <c r="G15" s="139" t="s">
        <v>27</v>
      </c>
      <c r="H15" s="140"/>
      <c r="I15" s="148"/>
      <c r="J15" s="151"/>
      <c r="K15" s="6">
        <v>101</v>
      </c>
    </row>
    <row r="16" spans="1:11">
      <c r="A16" s="32" t="str">
        <f t="shared" si="4"/>
        <v>DM11102</v>
      </c>
      <c r="B16" s="93">
        <f t="shared" si="1"/>
        <v>41103</v>
      </c>
      <c r="C16" s="146"/>
      <c r="D16" s="145"/>
      <c r="E16" s="139" t="s">
        <v>28</v>
      </c>
      <c r="F16" s="140"/>
      <c r="G16" s="139" t="s">
        <v>29</v>
      </c>
      <c r="H16" s="140"/>
      <c r="I16" s="148"/>
      <c r="J16" s="151"/>
      <c r="K16" s="6">
        <v>102</v>
      </c>
    </row>
    <row r="17" spans="1:11" ht="15.75" customHeight="1">
      <c r="A17" s="32" t="str">
        <f t="shared" si="4"/>
        <v>DM11103</v>
      </c>
      <c r="B17" s="93">
        <f t="shared" si="1"/>
        <v>41104</v>
      </c>
      <c r="C17" s="144" t="s">
        <v>61</v>
      </c>
      <c r="D17" s="144" t="s">
        <v>81</v>
      </c>
      <c r="E17" s="165" t="s">
        <v>67</v>
      </c>
      <c r="F17" s="166"/>
      <c r="G17" s="167" t="s">
        <v>66</v>
      </c>
      <c r="H17" s="168"/>
      <c r="I17" s="147" t="s">
        <v>62</v>
      </c>
      <c r="J17" s="150" t="s">
        <v>63</v>
      </c>
      <c r="K17" s="6">
        <v>103</v>
      </c>
    </row>
    <row r="18" spans="1:11" ht="15.75" customHeight="1">
      <c r="A18" s="32" t="str">
        <f t="shared" si="4"/>
        <v>DM11104</v>
      </c>
      <c r="B18" s="93">
        <f t="shared" si="1"/>
        <v>41105</v>
      </c>
      <c r="C18" s="145"/>
      <c r="D18" s="145"/>
      <c r="E18" s="165" t="s">
        <v>69</v>
      </c>
      <c r="F18" s="166"/>
      <c r="G18" s="167" t="s">
        <v>68</v>
      </c>
      <c r="H18" s="168"/>
      <c r="I18" s="148"/>
      <c r="J18" s="151"/>
      <c r="K18" s="6">
        <v>104</v>
      </c>
    </row>
    <row r="19" spans="1:11" ht="15.75" customHeight="1">
      <c r="A19" s="32" t="str">
        <f t="shared" si="4"/>
        <v>DM11105</v>
      </c>
      <c r="B19" s="93">
        <f t="shared" si="1"/>
        <v>41106</v>
      </c>
      <c r="C19" s="145"/>
      <c r="D19" s="145"/>
      <c r="E19" s="165" t="s">
        <v>71</v>
      </c>
      <c r="F19" s="166"/>
      <c r="G19" s="167" t="s">
        <v>70</v>
      </c>
      <c r="H19" s="168"/>
      <c r="I19" s="148"/>
      <c r="J19" s="151"/>
      <c r="K19" s="6">
        <v>105</v>
      </c>
    </row>
    <row r="20" spans="1:11" ht="15.75" customHeight="1">
      <c r="A20" s="32" t="str">
        <f t="shared" si="4"/>
        <v>DM11106</v>
      </c>
      <c r="B20" s="93">
        <f t="shared" si="1"/>
        <v>41107</v>
      </c>
      <c r="C20" s="145"/>
      <c r="D20" s="145"/>
      <c r="E20" s="165" t="s">
        <v>73</v>
      </c>
      <c r="F20" s="166"/>
      <c r="G20" s="167" t="s">
        <v>72</v>
      </c>
      <c r="H20" s="168"/>
      <c r="I20" s="148"/>
      <c r="J20" s="151"/>
      <c r="K20" s="6">
        <v>106</v>
      </c>
    </row>
    <row r="21" spans="1:11" ht="15.75" customHeight="1">
      <c r="A21" s="32" t="str">
        <f t="shared" si="4"/>
        <v>DM11107</v>
      </c>
      <c r="B21" s="93">
        <f t="shared" si="1"/>
        <v>41108</v>
      </c>
      <c r="C21" s="145"/>
      <c r="D21" s="145"/>
      <c r="E21" s="165" t="s">
        <v>77</v>
      </c>
      <c r="F21" s="166"/>
      <c r="G21" s="167" t="s">
        <v>74</v>
      </c>
      <c r="H21" s="168"/>
      <c r="I21" s="148"/>
      <c r="J21" s="151"/>
      <c r="K21" s="6">
        <v>107</v>
      </c>
    </row>
    <row r="22" spans="1:11" ht="15.75" customHeight="1">
      <c r="A22" s="32" t="str">
        <f t="shared" si="4"/>
        <v>DM11108</v>
      </c>
      <c r="B22" s="93">
        <f t="shared" si="1"/>
        <v>41109</v>
      </c>
      <c r="C22" s="145"/>
      <c r="D22" s="145"/>
      <c r="E22" s="165" t="s">
        <v>78</v>
      </c>
      <c r="F22" s="166"/>
      <c r="G22" s="167" t="s">
        <v>75</v>
      </c>
      <c r="H22" s="168"/>
      <c r="I22" s="148"/>
      <c r="J22" s="151"/>
      <c r="K22" s="6">
        <v>108</v>
      </c>
    </row>
    <row r="23" spans="1:11" ht="15.75" customHeight="1">
      <c r="A23" s="32" t="str">
        <f t="shared" si="4"/>
        <v>DM11109</v>
      </c>
      <c r="B23" s="93">
        <f t="shared" si="1"/>
        <v>41110</v>
      </c>
      <c r="C23" s="146"/>
      <c r="D23" s="146"/>
      <c r="E23" s="165" t="s">
        <v>79</v>
      </c>
      <c r="F23" s="166"/>
      <c r="G23" s="167" t="s">
        <v>76</v>
      </c>
      <c r="H23" s="168"/>
      <c r="I23" s="149"/>
      <c r="J23" s="152"/>
      <c r="K23" s="6">
        <v>109</v>
      </c>
    </row>
    <row r="24" spans="1:11" ht="15.75" customHeight="1">
      <c r="A24" s="32" t="str">
        <f t="shared" si="4"/>
        <v>DM11110</v>
      </c>
      <c r="B24" s="93">
        <f t="shared" si="1"/>
        <v>41111</v>
      </c>
      <c r="C24" s="144" t="s">
        <v>80</v>
      </c>
      <c r="D24" s="144" t="s">
        <v>81</v>
      </c>
      <c r="E24" s="139" t="s">
        <v>25</v>
      </c>
      <c r="F24" s="140"/>
      <c r="G24" s="139" t="s">
        <v>65</v>
      </c>
      <c r="H24" s="140"/>
      <c r="I24" s="147" t="s">
        <v>83</v>
      </c>
      <c r="J24" s="150" t="s">
        <v>82</v>
      </c>
      <c r="K24" s="6">
        <v>110</v>
      </c>
    </row>
    <row r="25" spans="1:11" ht="15.75" customHeight="1">
      <c r="A25" s="32" t="str">
        <f t="shared" si="4"/>
        <v>DM11111</v>
      </c>
      <c r="B25" s="93">
        <f t="shared" si="1"/>
        <v>41112</v>
      </c>
      <c r="C25" s="145"/>
      <c r="D25" s="145"/>
      <c r="E25" s="139" t="s">
        <v>26</v>
      </c>
      <c r="F25" s="140"/>
      <c r="G25" s="139" t="s">
        <v>27</v>
      </c>
      <c r="H25" s="140"/>
      <c r="I25" s="148"/>
      <c r="J25" s="151"/>
      <c r="K25" s="6">
        <v>111</v>
      </c>
    </row>
    <row r="26" spans="1:11" ht="15.75" customHeight="1">
      <c r="A26" s="32" t="str">
        <f t="shared" si="4"/>
        <v>DM11112</v>
      </c>
      <c r="B26" s="93">
        <f t="shared" si="1"/>
        <v>41113</v>
      </c>
      <c r="C26" s="146"/>
      <c r="D26" s="146"/>
      <c r="E26" s="139" t="s">
        <v>28</v>
      </c>
      <c r="F26" s="140"/>
      <c r="G26" s="139" t="s">
        <v>29</v>
      </c>
      <c r="H26" s="140"/>
      <c r="I26" s="149"/>
      <c r="J26" s="152"/>
      <c r="K26" s="6">
        <v>112</v>
      </c>
    </row>
    <row r="27" spans="1:11" ht="15.75" customHeight="1">
      <c r="A27" s="32" t="str">
        <f t="shared" si="4"/>
        <v>DM11113</v>
      </c>
      <c r="B27" s="93">
        <f t="shared" si="1"/>
        <v>41114</v>
      </c>
      <c r="C27" s="144" t="s">
        <v>84</v>
      </c>
      <c r="D27" s="144" t="s">
        <v>81</v>
      </c>
      <c r="E27" s="139" t="s">
        <v>25</v>
      </c>
      <c r="F27" s="140"/>
      <c r="G27" s="139" t="s">
        <v>65</v>
      </c>
      <c r="H27" s="140"/>
      <c r="I27" s="147" t="s">
        <v>84</v>
      </c>
      <c r="J27" s="150" t="s">
        <v>85</v>
      </c>
      <c r="K27" s="6">
        <v>113</v>
      </c>
    </row>
    <row r="28" spans="1:11" ht="15.75" customHeight="1">
      <c r="A28" s="32" t="str">
        <f t="shared" si="4"/>
        <v>DM11114</v>
      </c>
      <c r="B28" s="93">
        <f t="shared" si="1"/>
        <v>41115</v>
      </c>
      <c r="C28" s="145"/>
      <c r="D28" s="145"/>
      <c r="E28" s="139" t="s">
        <v>26</v>
      </c>
      <c r="F28" s="140"/>
      <c r="G28" s="139" t="s">
        <v>27</v>
      </c>
      <c r="H28" s="140"/>
      <c r="I28" s="148"/>
      <c r="J28" s="151"/>
      <c r="K28" s="6">
        <v>114</v>
      </c>
    </row>
    <row r="29" spans="1:11" ht="15.75" customHeight="1">
      <c r="A29" s="32" t="str">
        <f t="shared" si="4"/>
        <v>DM11115</v>
      </c>
      <c r="B29" s="93">
        <f t="shared" si="1"/>
        <v>41116</v>
      </c>
      <c r="C29" s="145"/>
      <c r="D29" s="145"/>
      <c r="E29" s="139" t="s">
        <v>28</v>
      </c>
      <c r="F29" s="140"/>
      <c r="G29" s="139" t="s">
        <v>29</v>
      </c>
      <c r="H29" s="140"/>
      <c r="I29" s="148"/>
      <c r="J29" s="151"/>
      <c r="K29" s="6">
        <v>115</v>
      </c>
    </row>
    <row r="30" spans="1:11" ht="15.75" customHeight="1">
      <c r="A30" s="32" t="str">
        <f t="shared" si="4"/>
        <v>DM11116</v>
      </c>
      <c r="B30" s="93">
        <f t="shared" si="1"/>
        <v>41117</v>
      </c>
      <c r="C30" s="145"/>
      <c r="D30" s="145"/>
      <c r="E30" s="139" t="s">
        <v>30</v>
      </c>
      <c r="F30" s="140"/>
      <c r="G30" s="139" t="s">
        <v>31</v>
      </c>
      <c r="H30" s="140"/>
      <c r="I30" s="148"/>
      <c r="J30" s="151"/>
      <c r="K30" s="6">
        <v>116</v>
      </c>
    </row>
    <row r="31" spans="1:11" ht="15.75" customHeight="1">
      <c r="A31" s="32" t="str">
        <f t="shared" si="4"/>
        <v>DM11117</v>
      </c>
      <c r="B31" s="93">
        <f t="shared" si="1"/>
        <v>41118</v>
      </c>
      <c r="C31" s="145"/>
      <c r="D31" s="145"/>
      <c r="E31" s="139" t="s">
        <v>11</v>
      </c>
      <c r="F31" s="140"/>
      <c r="G31" s="139" t="s">
        <v>12</v>
      </c>
      <c r="H31" s="140"/>
      <c r="I31" s="148"/>
      <c r="J31" s="151"/>
      <c r="K31" s="6">
        <v>117</v>
      </c>
    </row>
    <row r="32" spans="1:11" ht="15.75" customHeight="1">
      <c r="A32" s="32" t="str">
        <f t="shared" si="4"/>
        <v>DM11118</v>
      </c>
      <c r="B32" s="93">
        <f t="shared" si="1"/>
        <v>41119</v>
      </c>
      <c r="C32" s="145"/>
      <c r="D32" s="145"/>
      <c r="E32" s="139" t="s">
        <v>13</v>
      </c>
      <c r="F32" s="140"/>
      <c r="G32" s="139" t="s">
        <v>14</v>
      </c>
      <c r="H32" s="140"/>
      <c r="I32" s="148"/>
      <c r="J32" s="151"/>
      <c r="K32" s="6">
        <v>118</v>
      </c>
    </row>
    <row r="33" spans="1:11" ht="15.75" customHeight="1">
      <c r="A33" s="32" t="str">
        <f t="shared" si="4"/>
        <v>DM11119</v>
      </c>
      <c r="B33" s="93">
        <f t="shared" si="1"/>
        <v>41120</v>
      </c>
      <c r="C33" s="145"/>
      <c r="D33" s="145"/>
      <c r="E33" s="139" t="s">
        <v>16</v>
      </c>
      <c r="F33" s="140"/>
      <c r="G33" s="139" t="s">
        <v>17</v>
      </c>
      <c r="H33" s="140"/>
      <c r="I33" s="148"/>
      <c r="J33" s="151"/>
      <c r="K33" s="6">
        <v>119</v>
      </c>
    </row>
    <row r="34" spans="1:11" ht="15.75" customHeight="1">
      <c r="A34" s="32" t="str">
        <f t="shared" si="4"/>
        <v>DM11120</v>
      </c>
      <c r="B34" s="93">
        <f t="shared" si="1"/>
        <v>41121</v>
      </c>
      <c r="C34" s="145"/>
      <c r="D34" s="145"/>
      <c r="E34" s="139" t="s">
        <v>18</v>
      </c>
      <c r="F34" s="140"/>
      <c r="G34" s="139" t="s">
        <v>19</v>
      </c>
      <c r="H34" s="140"/>
      <c r="I34" s="148"/>
      <c r="J34" s="151"/>
      <c r="K34" s="6">
        <v>120</v>
      </c>
    </row>
    <row r="35" spans="1:11" ht="15.75" customHeight="1">
      <c r="A35" s="32" t="str">
        <f t="shared" si="4"/>
        <v>DM11121</v>
      </c>
      <c r="B35" s="93">
        <f t="shared" si="1"/>
        <v>41122</v>
      </c>
      <c r="C35" s="145"/>
      <c r="D35" s="145"/>
      <c r="E35" s="139" t="s">
        <v>20</v>
      </c>
      <c r="F35" s="140"/>
      <c r="G35" s="139" t="s">
        <v>21</v>
      </c>
      <c r="H35" s="140"/>
      <c r="I35" s="148"/>
      <c r="J35" s="151"/>
      <c r="K35" s="6">
        <v>121</v>
      </c>
    </row>
    <row r="36" spans="1:11" ht="15.75" customHeight="1">
      <c r="A36" s="32" t="str">
        <f t="shared" si="4"/>
        <v>DM11122</v>
      </c>
      <c r="B36" s="93">
        <f t="shared" si="1"/>
        <v>41123</v>
      </c>
      <c r="C36" s="145"/>
      <c r="D36" s="145"/>
      <c r="E36" s="139" t="s">
        <v>22</v>
      </c>
      <c r="F36" s="140"/>
      <c r="G36" s="139" t="s">
        <v>23</v>
      </c>
      <c r="H36" s="140"/>
      <c r="I36" s="148"/>
      <c r="J36" s="151"/>
      <c r="K36" s="6">
        <v>122</v>
      </c>
    </row>
    <row r="37" spans="1:11" ht="15.75" customHeight="1">
      <c r="A37" s="32" t="str">
        <f t="shared" si="4"/>
        <v>DM11123</v>
      </c>
      <c r="B37" s="93">
        <f t="shared" si="1"/>
        <v>41124</v>
      </c>
      <c r="C37" s="145"/>
      <c r="D37" s="145"/>
      <c r="E37" s="139" t="s">
        <v>86</v>
      </c>
      <c r="F37" s="140"/>
      <c r="G37" s="139" t="s">
        <v>100</v>
      </c>
      <c r="H37" s="140"/>
      <c r="I37" s="148"/>
      <c r="J37" s="151"/>
      <c r="K37" s="6">
        <v>123</v>
      </c>
    </row>
    <row r="38" spans="1:11" ht="15.75" customHeight="1">
      <c r="A38" s="32" t="str">
        <f t="shared" si="4"/>
        <v>DM11124</v>
      </c>
      <c r="B38" s="93">
        <f t="shared" si="1"/>
        <v>41125</v>
      </c>
      <c r="C38" s="145"/>
      <c r="D38" s="145"/>
      <c r="E38" s="139" t="s">
        <v>87</v>
      </c>
      <c r="F38" s="140"/>
      <c r="G38" s="139" t="s">
        <v>101</v>
      </c>
      <c r="H38" s="140"/>
      <c r="I38" s="148"/>
      <c r="J38" s="151"/>
      <c r="K38" s="6">
        <v>124</v>
      </c>
    </row>
    <row r="39" spans="1:11" ht="15.75" customHeight="1">
      <c r="A39" s="32" t="str">
        <f t="shared" si="4"/>
        <v>DM11125</v>
      </c>
      <c r="B39" s="93">
        <f t="shared" si="1"/>
        <v>41126</v>
      </c>
      <c r="C39" s="145"/>
      <c r="D39" s="145"/>
      <c r="E39" s="139" t="s">
        <v>88</v>
      </c>
      <c r="F39" s="140"/>
      <c r="G39" s="139" t="s">
        <v>102</v>
      </c>
      <c r="H39" s="140"/>
      <c r="I39" s="148"/>
      <c r="J39" s="151"/>
      <c r="K39" s="6">
        <v>125</v>
      </c>
    </row>
    <row r="40" spans="1:11" ht="15.75" customHeight="1">
      <c r="A40" s="32" t="str">
        <f t="shared" si="4"/>
        <v>DM11126</v>
      </c>
      <c r="B40" s="93">
        <f t="shared" si="1"/>
        <v>41127</v>
      </c>
      <c r="C40" s="145"/>
      <c r="D40" s="145"/>
      <c r="E40" s="139" t="s">
        <v>89</v>
      </c>
      <c r="F40" s="140"/>
      <c r="G40" s="139" t="s">
        <v>103</v>
      </c>
      <c r="H40" s="140"/>
      <c r="I40" s="148"/>
      <c r="J40" s="151"/>
      <c r="K40" s="6">
        <v>126</v>
      </c>
    </row>
    <row r="41" spans="1:11" ht="15.75" customHeight="1">
      <c r="A41" s="32" t="str">
        <f t="shared" si="4"/>
        <v>DM11127</v>
      </c>
      <c r="B41" s="93">
        <f t="shared" si="1"/>
        <v>41128</v>
      </c>
      <c r="C41" s="145"/>
      <c r="D41" s="145"/>
      <c r="E41" s="139" t="s">
        <v>90</v>
      </c>
      <c r="F41" s="140"/>
      <c r="G41" s="139" t="s">
        <v>104</v>
      </c>
      <c r="H41" s="140"/>
      <c r="I41" s="148"/>
      <c r="J41" s="151"/>
      <c r="K41" s="6">
        <v>127</v>
      </c>
    </row>
    <row r="42" spans="1:11" ht="15.75" customHeight="1">
      <c r="A42" s="32" t="str">
        <f t="shared" si="4"/>
        <v>DM11128</v>
      </c>
      <c r="B42" s="93">
        <f t="shared" si="1"/>
        <v>41129</v>
      </c>
      <c r="C42" s="145"/>
      <c r="D42" s="145"/>
      <c r="E42" s="139" t="s">
        <v>91</v>
      </c>
      <c r="F42" s="140"/>
      <c r="G42" s="139" t="s">
        <v>105</v>
      </c>
      <c r="H42" s="140"/>
      <c r="I42" s="148"/>
      <c r="J42" s="151"/>
      <c r="K42" s="6">
        <v>128</v>
      </c>
    </row>
    <row r="43" spans="1:11" ht="15.75" customHeight="1">
      <c r="A43" s="32" t="str">
        <f t="shared" si="4"/>
        <v>DM11129</v>
      </c>
      <c r="B43" s="93">
        <f t="shared" si="1"/>
        <v>41130</v>
      </c>
      <c r="C43" s="145"/>
      <c r="D43" s="145"/>
      <c r="E43" s="139" t="s">
        <v>92</v>
      </c>
      <c r="F43" s="140"/>
      <c r="G43" s="139" t="s">
        <v>106</v>
      </c>
      <c r="H43" s="140"/>
      <c r="I43" s="148"/>
      <c r="J43" s="151"/>
      <c r="K43" s="6">
        <v>129</v>
      </c>
    </row>
    <row r="44" spans="1:11" ht="15.75" customHeight="1">
      <c r="A44" s="32" t="str">
        <f t="shared" si="4"/>
        <v>DM11130</v>
      </c>
      <c r="B44" s="93">
        <f t="shared" si="1"/>
        <v>41131</v>
      </c>
      <c r="C44" s="145"/>
      <c r="D44" s="145"/>
      <c r="E44" s="139" t="s">
        <v>93</v>
      </c>
      <c r="F44" s="140"/>
      <c r="G44" s="139" t="s">
        <v>107</v>
      </c>
      <c r="H44" s="140"/>
      <c r="I44" s="148"/>
      <c r="J44" s="151"/>
      <c r="K44" s="6">
        <v>130</v>
      </c>
    </row>
    <row r="45" spans="1:11" ht="15.75" customHeight="1">
      <c r="A45" s="32" t="str">
        <f t="shared" si="4"/>
        <v>DM11131</v>
      </c>
      <c r="B45" s="93">
        <f t="shared" si="1"/>
        <v>41132</v>
      </c>
      <c r="C45" s="145"/>
      <c r="D45" s="145"/>
      <c r="E45" s="139" t="s">
        <v>94</v>
      </c>
      <c r="F45" s="140"/>
      <c r="G45" s="139" t="s">
        <v>108</v>
      </c>
      <c r="H45" s="140"/>
      <c r="I45" s="148"/>
      <c r="J45" s="151"/>
      <c r="K45" s="6">
        <v>131</v>
      </c>
    </row>
    <row r="46" spans="1:11" ht="15.75" customHeight="1">
      <c r="A46" s="32" t="str">
        <f t="shared" ref="A46:A63" si="5">LEFT($D$3, 2) &amp; (MID($D$3, 3, LEN($D$3)) + K46)</f>
        <v>DM11132</v>
      </c>
      <c r="B46" s="93">
        <f t="shared" si="1"/>
        <v>41133</v>
      </c>
      <c r="C46" s="145"/>
      <c r="D46" s="145"/>
      <c r="E46" s="139" t="s">
        <v>95</v>
      </c>
      <c r="F46" s="140"/>
      <c r="G46" s="139" t="s">
        <v>109</v>
      </c>
      <c r="H46" s="140"/>
      <c r="I46" s="148"/>
      <c r="J46" s="151"/>
      <c r="K46" s="6">
        <v>132</v>
      </c>
    </row>
    <row r="47" spans="1:11" ht="15.75" customHeight="1">
      <c r="A47" s="32" t="str">
        <f t="shared" si="5"/>
        <v>DM11133</v>
      </c>
      <c r="B47" s="93">
        <f t="shared" si="1"/>
        <v>41134</v>
      </c>
      <c r="C47" s="145"/>
      <c r="D47" s="145"/>
      <c r="E47" s="139" t="s">
        <v>96</v>
      </c>
      <c r="F47" s="140"/>
      <c r="G47" s="139" t="s">
        <v>110</v>
      </c>
      <c r="H47" s="140"/>
      <c r="I47" s="148"/>
      <c r="J47" s="151"/>
      <c r="K47" s="6">
        <v>133</v>
      </c>
    </row>
    <row r="48" spans="1:11" ht="15.75" customHeight="1">
      <c r="A48" s="32" t="str">
        <f t="shared" si="5"/>
        <v>DM11134</v>
      </c>
      <c r="B48" s="93">
        <f t="shared" si="1"/>
        <v>41135</v>
      </c>
      <c r="C48" s="145"/>
      <c r="D48" s="145"/>
      <c r="E48" s="139" t="s">
        <v>97</v>
      </c>
      <c r="F48" s="140"/>
      <c r="G48" s="139" t="s">
        <v>111</v>
      </c>
      <c r="H48" s="140"/>
      <c r="I48" s="148"/>
      <c r="J48" s="151"/>
      <c r="K48" s="6">
        <v>134</v>
      </c>
    </row>
    <row r="49" spans="1:11" ht="15.75" customHeight="1">
      <c r="A49" s="32" t="str">
        <f t="shared" si="5"/>
        <v>DM11135</v>
      </c>
      <c r="B49" s="93">
        <f t="shared" si="1"/>
        <v>41136</v>
      </c>
      <c r="C49" s="145"/>
      <c r="D49" s="145"/>
      <c r="E49" s="139" t="s">
        <v>98</v>
      </c>
      <c r="F49" s="140"/>
      <c r="G49" s="139" t="s">
        <v>112</v>
      </c>
      <c r="H49" s="140"/>
      <c r="I49" s="148"/>
      <c r="J49" s="151"/>
      <c r="K49" s="6">
        <v>135</v>
      </c>
    </row>
    <row r="50" spans="1:11" ht="15.75" customHeight="1">
      <c r="A50" s="32" t="str">
        <f t="shared" si="5"/>
        <v>DM11136</v>
      </c>
      <c r="B50" s="93">
        <f t="shared" si="1"/>
        <v>41137</v>
      </c>
      <c r="C50" s="146"/>
      <c r="D50" s="146"/>
      <c r="E50" s="139" t="s">
        <v>99</v>
      </c>
      <c r="F50" s="140"/>
      <c r="G50" s="139" t="s">
        <v>113</v>
      </c>
      <c r="H50" s="140"/>
      <c r="I50" s="149"/>
      <c r="J50" s="152"/>
      <c r="K50" s="6">
        <v>136</v>
      </c>
    </row>
    <row r="51" spans="1:11" ht="15.75" customHeight="1">
      <c r="A51" s="32" t="str">
        <f t="shared" si="5"/>
        <v>DM11137</v>
      </c>
      <c r="B51" s="93">
        <f t="shared" si="1"/>
        <v>41138</v>
      </c>
      <c r="C51" s="41" t="s">
        <v>0</v>
      </c>
      <c r="D51" s="73"/>
      <c r="E51" s="55"/>
      <c r="F51" s="56"/>
      <c r="G51" s="56"/>
      <c r="H51" s="56"/>
      <c r="I51" s="70"/>
      <c r="J51" s="71"/>
      <c r="K51" s="6">
        <v>137</v>
      </c>
    </row>
    <row r="52" spans="1:11" ht="15.75" customHeight="1">
      <c r="A52" s="32" t="str">
        <f t="shared" si="5"/>
        <v>DM11138</v>
      </c>
      <c r="B52" s="93">
        <f t="shared" si="1"/>
        <v>41139</v>
      </c>
      <c r="C52" s="41" t="s">
        <v>0</v>
      </c>
      <c r="D52" s="73"/>
      <c r="E52" s="55"/>
      <c r="F52" s="56"/>
      <c r="G52" s="56"/>
      <c r="H52" s="56"/>
      <c r="I52" s="70"/>
      <c r="J52" s="71"/>
      <c r="K52" s="6">
        <v>138</v>
      </c>
    </row>
    <row r="53" spans="1:11" ht="15.75" customHeight="1">
      <c r="A53" s="32" t="str">
        <f t="shared" si="5"/>
        <v>DM11139</v>
      </c>
      <c r="B53" s="93">
        <f t="shared" si="1"/>
        <v>41140</v>
      </c>
      <c r="C53" s="41" t="s">
        <v>0</v>
      </c>
      <c r="D53" s="73"/>
      <c r="E53" s="55"/>
      <c r="F53" s="56"/>
      <c r="G53" s="56"/>
      <c r="H53" s="56"/>
      <c r="I53" s="70"/>
      <c r="J53" s="71"/>
      <c r="K53" s="6">
        <v>139</v>
      </c>
    </row>
    <row r="54" spans="1:11" ht="15.75" customHeight="1">
      <c r="A54" s="32" t="str">
        <f t="shared" si="5"/>
        <v>DM11140</v>
      </c>
      <c r="B54" s="93">
        <f t="shared" si="1"/>
        <v>41141</v>
      </c>
      <c r="C54" s="41" t="s">
        <v>0</v>
      </c>
      <c r="D54" s="73"/>
      <c r="E54" s="55"/>
      <c r="F54" s="56"/>
      <c r="G54" s="56"/>
      <c r="H54" s="56"/>
      <c r="I54" s="70"/>
      <c r="J54" s="71"/>
      <c r="K54" s="6">
        <v>140</v>
      </c>
    </row>
    <row r="55" spans="1:11" ht="15.75" customHeight="1">
      <c r="A55" s="32" t="str">
        <f t="shared" si="5"/>
        <v>DM11141</v>
      </c>
      <c r="B55" s="93">
        <f t="shared" si="1"/>
        <v>41142</v>
      </c>
      <c r="C55" s="41" t="s">
        <v>0</v>
      </c>
      <c r="D55" s="73"/>
      <c r="E55" s="55"/>
      <c r="F55" s="56"/>
      <c r="G55" s="56"/>
      <c r="H55" s="56"/>
      <c r="I55" s="70"/>
      <c r="J55" s="71"/>
      <c r="K55" s="6">
        <v>141</v>
      </c>
    </row>
    <row r="56" spans="1:11" ht="15.75" customHeight="1">
      <c r="A56" s="32" t="str">
        <f t="shared" si="5"/>
        <v>DM11142</v>
      </c>
      <c r="B56" s="93">
        <f t="shared" si="1"/>
        <v>41143</v>
      </c>
      <c r="C56" s="41" t="s">
        <v>0</v>
      </c>
      <c r="D56" s="73"/>
      <c r="E56" s="55"/>
      <c r="F56" s="56"/>
      <c r="G56" s="56"/>
      <c r="H56" s="56"/>
      <c r="I56" s="70"/>
      <c r="J56" s="71"/>
      <c r="K56" s="6">
        <v>142</v>
      </c>
    </row>
    <row r="57" spans="1:11" ht="15.75" customHeight="1">
      <c r="A57" s="32" t="str">
        <f t="shared" si="5"/>
        <v>DM11143</v>
      </c>
      <c r="B57" s="93">
        <f t="shared" si="1"/>
        <v>41144</v>
      </c>
      <c r="C57" s="69" t="s">
        <v>114</v>
      </c>
      <c r="D57" s="73" t="s">
        <v>116</v>
      </c>
      <c r="E57" s="60">
        <v>0</v>
      </c>
      <c r="F57" s="61">
        <v>0</v>
      </c>
      <c r="G57" s="61">
        <v>0</v>
      </c>
      <c r="H57" s="45" t="s">
        <v>262</v>
      </c>
      <c r="I57" s="70" t="s">
        <v>159</v>
      </c>
      <c r="J57" s="71" t="s">
        <v>156</v>
      </c>
      <c r="K57" s="6">
        <v>143</v>
      </c>
    </row>
    <row r="58" spans="1:11" ht="15.75" customHeight="1">
      <c r="A58" s="32" t="str">
        <f t="shared" si="5"/>
        <v>DM11144</v>
      </c>
      <c r="B58" s="93">
        <f t="shared" si="1"/>
        <v>41145</v>
      </c>
      <c r="C58" s="94" t="s">
        <v>194</v>
      </c>
      <c r="D58" s="102" t="s">
        <v>116</v>
      </c>
      <c r="E58" s="61">
        <v>0</v>
      </c>
      <c r="F58" s="61">
        <v>0</v>
      </c>
      <c r="G58" s="99" t="s">
        <v>198</v>
      </c>
      <c r="H58" s="99" t="s">
        <v>198</v>
      </c>
      <c r="I58" s="100" t="s">
        <v>199</v>
      </c>
      <c r="J58" s="101" t="s">
        <v>200</v>
      </c>
      <c r="K58" s="6">
        <v>144</v>
      </c>
    </row>
    <row r="59" spans="1:11" ht="15.75" customHeight="1">
      <c r="A59" s="32" t="str">
        <f t="shared" si="5"/>
        <v>DM11145</v>
      </c>
      <c r="B59" s="93">
        <f t="shared" si="1"/>
        <v>41146</v>
      </c>
      <c r="C59" s="41" t="s">
        <v>0</v>
      </c>
      <c r="D59" s="73"/>
      <c r="E59" s="95"/>
      <c r="F59" s="56"/>
      <c r="G59" s="56"/>
      <c r="H59" s="56"/>
      <c r="I59" s="100"/>
      <c r="J59" s="101"/>
      <c r="K59" s="6">
        <v>145</v>
      </c>
    </row>
    <row r="60" spans="1:11" ht="15.75" customHeight="1">
      <c r="A60" s="32" t="str">
        <f t="shared" si="5"/>
        <v>DM11146</v>
      </c>
      <c r="B60" s="93">
        <f t="shared" si="1"/>
        <v>41147</v>
      </c>
      <c r="C60" s="41" t="s">
        <v>0</v>
      </c>
      <c r="D60" s="73"/>
      <c r="E60" s="95"/>
      <c r="F60" s="56"/>
      <c r="G60" s="56"/>
      <c r="H60" s="56"/>
      <c r="I60" s="100"/>
      <c r="J60" s="101"/>
      <c r="K60" s="6">
        <v>146</v>
      </c>
    </row>
    <row r="61" spans="1:11" ht="15.75" customHeight="1">
      <c r="A61" s="32" t="str">
        <f t="shared" si="5"/>
        <v>DM11147</v>
      </c>
      <c r="B61" s="93">
        <f t="shared" si="1"/>
        <v>41148</v>
      </c>
      <c r="C61" s="41" t="s">
        <v>0</v>
      </c>
      <c r="D61" s="73"/>
      <c r="E61" s="95"/>
      <c r="F61" s="56"/>
      <c r="G61" s="56"/>
      <c r="H61" s="56"/>
      <c r="I61" s="100"/>
      <c r="J61" s="101"/>
      <c r="K61" s="6">
        <v>147</v>
      </c>
    </row>
    <row r="62" spans="1:11" ht="15.75" customHeight="1">
      <c r="A62" s="32" t="str">
        <f t="shared" si="5"/>
        <v>DM11148</v>
      </c>
      <c r="B62" s="93">
        <f t="shared" si="1"/>
        <v>41149</v>
      </c>
      <c r="C62" s="41" t="s">
        <v>0</v>
      </c>
      <c r="D62" s="73"/>
      <c r="E62" s="95"/>
      <c r="F62" s="56"/>
      <c r="G62" s="56"/>
      <c r="H62" s="56"/>
      <c r="I62" s="100"/>
      <c r="J62" s="101"/>
      <c r="K62" s="6">
        <v>148</v>
      </c>
    </row>
    <row r="63" spans="1:11" ht="15.75" customHeight="1" thickBot="1">
      <c r="A63" s="32" t="str">
        <f t="shared" si="5"/>
        <v>DM11149</v>
      </c>
      <c r="B63" s="93">
        <f t="shared" si="1"/>
        <v>41150</v>
      </c>
      <c r="C63" s="41" t="s">
        <v>0</v>
      </c>
      <c r="D63" s="73"/>
      <c r="E63" s="95"/>
      <c r="F63" s="56"/>
      <c r="G63" s="56"/>
      <c r="H63" s="56"/>
      <c r="I63" s="100"/>
      <c r="J63" s="101"/>
      <c r="K63" s="6">
        <v>149</v>
      </c>
    </row>
    <row r="64" spans="1:11" ht="15.75" customHeight="1">
      <c r="A64" s="141" t="s">
        <v>117</v>
      </c>
      <c r="B64" s="142"/>
      <c r="C64" s="142"/>
      <c r="D64" s="142"/>
      <c r="E64" s="142"/>
      <c r="F64" s="142"/>
      <c r="G64" s="142"/>
      <c r="H64" s="142"/>
      <c r="I64" s="142"/>
      <c r="J64" s="143"/>
    </row>
    <row r="65" spans="1:11" ht="15" customHeight="1">
      <c r="A65" s="32" t="str">
        <f t="shared" ref="A65:A118" si="6">LEFT($D$3, 2) &amp; (MID($D$3, 3, LEN($D$3)) + K65)</f>
        <v>DM11150</v>
      </c>
      <c r="B65" s="93">
        <f t="shared" ref="B65:B88" si="7">$D$4+K65</f>
        <v>41151</v>
      </c>
      <c r="C65" s="144" t="s">
        <v>59</v>
      </c>
      <c r="D65" s="144" t="s">
        <v>58</v>
      </c>
      <c r="E65" s="139" t="s">
        <v>25</v>
      </c>
      <c r="F65" s="140"/>
      <c r="G65" s="139" t="s">
        <v>65</v>
      </c>
      <c r="H65" s="140"/>
      <c r="I65" s="147" t="s">
        <v>60</v>
      </c>
      <c r="J65" s="150" t="s">
        <v>82</v>
      </c>
      <c r="K65" s="6">
        <v>150</v>
      </c>
    </row>
    <row r="66" spans="1:11" ht="15" customHeight="1">
      <c r="A66" s="32" t="str">
        <f t="shared" si="6"/>
        <v>DM11151</v>
      </c>
      <c r="B66" s="93">
        <f t="shared" si="7"/>
        <v>41152</v>
      </c>
      <c r="C66" s="145"/>
      <c r="D66" s="145"/>
      <c r="E66" s="139" t="s">
        <v>26</v>
      </c>
      <c r="F66" s="140"/>
      <c r="G66" s="139" t="s">
        <v>27</v>
      </c>
      <c r="H66" s="140"/>
      <c r="I66" s="148"/>
      <c r="J66" s="151"/>
      <c r="K66" s="6">
        <v>151</v>
      </c>
    </row>
    <row r="67" spans="1:11" ht="15" customHeight="1">
      <c r="A67" s="32" t="str">
        <f t="shared" si="6"/>
        <v>DM11152</v>
      </c>
      <c r="B67" s="93">
        <f t="shared" si="7"/>
        <v>41153</v>
      </c>
      <c r="C67" s="146"/>
      <c r="D67" s="145"/>
      <c r="E67" s="139" t="s">
        <v>28</v>
      </c>
      <c r="F67" s="140"/>
      <c r="G67" s="139" t="s">
        <v>29</v>
      </c>
      <c r="H67" s="140"/>
      <c r="I67" s="148"/>
      <c r="J67" s="151"/>
      <c r="K67" s="6">
        <v>152</v>
      </c>
    </row>
    <row r="68" spans="1:11">
      <c r="A68" s="32" t="str">
        <f t="shared" si="6"/>
        <v>DM11153</v>
      </c>
      <c r="B68" s="93">
        <f t="shared" si="7"/>
        <v>41154</v>
      </c>
      <c r="C68" s="144" t="s">
        <v>61</v>
      </c>
      <c r="D68" s="144" t="s">
        <v>81</v>
      </c>
      <c r="E68" s="165" t="s">
        <v>67</v>
      </c>
      <c r="F68" s="166"/>
      <c r="G68" s="167" t="s">
        <v>66</v>
      </c>
      <c r="H68" s="168"/>
      <c r="I68" s="147" t="s">
        <v>62</v>
      </c>
      <c r="J68" s="150" t="s">
        <v>63</v>
      </c>
      <c r="K68" s="6">
        <v>153</v>
      </c>
    </row>
    <row r="69" spans="1:11">
      <c r="A69" s="32" t="str">
        <f t="shared" si="6"/>
        <v>DM11154</v>
      </c>
      <c r="B69" s="93">
        <f t="shared" si="7"/>
        <v>41155</v>
      </c>
      <c r="C69" s="145"/>
      <c r="D69" s="145"/>
      <c r="E69" s="165" t="s">
        <v>69</v>
      </c>
      <c r="F69" s="166"/>
      <c r="G69" s="167" t="s">
        <v>68</v>
      </c>
      <c r="H69" s="168"/>
      <c r="I69" s="148"/>
      <c r="J69" s="151"/>
      <c r="K69" s="6">
        <v>154</v>
      </c>
    </row>
    <row r="70" spans="1:11">
      <c r="A70" s="32" t="str">
        <f t="shared" si="6"/>
        <v>DM11155</v>
      </c>
      <c r="B70" s="93">
        <f t="shared" si="7"/>
        <v>41156</v>
      </c>
      <c r="C70" s="145"/>
      <c r="D70" s="145"/>
      <c r="E70" s="165" t="s">
        <v>71</v>
      </c>
      <c r="F70" s="166"/>
      <c r="G70" s="167" t="s">
        <v>70</v>
      </c>
      <c r="H70" s="168"/>
      <c r="I70" s="148"/>
      <c r="J70" s="151"/>
      <c r="K70" s="6">
        <v>155</v>
      </c>
    </row>
    <row r="71" spans="1:11">
      <c r="A71" s="32" t="str">
        <f t="shared" si="6"/>
        <v>DM11156</v>
      </c>
      <c r="B71" s="93">
        <f t="shared" si="7"/>
        <v>41157</v>
      </c>
      <c r="C71" s="145"/>
      <c r="D71" s="145"/>
      <c r="E71" s="165" t="s">
        <v>73</v>
      </c>
      <c r="F71" s="166"/>
      <c r="G71" s="167" t="s">
        <v>72</v>
      </c>
      <c r="H71" s="168"/>
      <c r="I71" s="148"/>
      <c r="J71" s="151"/>
      <c r="K71" s="6">
        <v>156</v>
      </c>
    </row>
    <row r="72" spans="1:11">
      <c r="A72" s="32" t="str">
        <f t="shared" si="6"/>
        <v>DM11157</v>
      </c>
      <c r="B72" s="93">
        <f t="shared" si="7"/>
        <v>41158</v>
      </c>
      <c r="C72" s="145"/>
      <c r="D72" s="145"/>
      <c r="E72" s="165" t="s">
        <v>77</v>
      </c>
      <c r="F72" s="166"/>
      <c r="G72" s="167" t="s">
        <v>74</v>
      </c>
      <c r="H72" s="168"/>
      <c r="I72" s="148"/>
      <c r="J72" s="151"/>
      <c r="K72" s="6">
        <v>157</v>
      </c>
    </row>
    <row r="73" spans="1:11">
      <c r="A73" s="32" t="str">
        <f t="shared" si="6"/>
        <v>DM11158</v>
      </c>
      <c r="B73" s="93">
        <f t="shared" si="7"/>
        <v>41159</v>
      </c>
      <c r="C73" s="145"/>
      <c r="D73" s="145"/>
      <c r="E73" s="165" t="s">
        <v>78</v>
      </c>
      <c r="F73" s="166"/>
      <c r="G73" s="167" t="s">
        <v>75</v>
      </c>
      <c r="H73" s="168"/>
      <c r="I73" s="148"/>
      <c r="J73" s="151"/>
      <c r="K73" s="6">
        <v>158</v>
      </c>
    </row>
    <row r="74" spans="1:11">
      <c r="A74" s="32" t="str">
        <f t="shared" si="6"/>
        <v>DM11159</v>
      </c>
      <c r="B74" s="93">
        <f t="shared" si="7"/>
        <v>41160</v>
      </c>
      <c r="C74" s="146"/>
      <c r="D74" s="146"/>
      <c r="E74" s="165" t="s">
        <v>79</v>
      </c>
      <c r="F74" s="166"/>
      <c r="G74" s="167" t="s">
        <v>76</v>
      </c>
      <c r="H74" s="168"/>
      <c r="I74" s="149"/>
      <c r="J74" s="152"/>
      <c r="K74" s="6">
        <v>159</v>
      </c>
    </row>
    <row r="75" spans="1:11">
      <c r="A75" s="32" t="str">
        <f t="shared" si="6"/>
        <v>DM11160</v>
      </c>
      <c r="B75" s="93">
        <f t="shared" si="7"/>
        <v>41161</v>
      </c>
      <c r="C75" s="144" t="s">
        <v>80</v>
      </c>
      <c r="D75" s="144" t="s">
        <v>81</v>
      </c>
      <c r="E75" s="139" t="s">
        <v>25</v>
      </c>
      <c r="F75" s="140"/>
      <c r="G75" s="139" t="s">
        <v>65</v>
      </c>
      <c r="H75" s="140"/>
      <c r="I75" s="147" t="s">
        <v>83</v>
      </c>
      <c r="J75" s="150" t="s">
        <v>82</v>
      </c>
      <c r="K75" s="6">
        <v>160</v>
      </c>
    </row>
    <row r="76" spans="1:11">
      <c r="A76" s="32" t="str">
        <f t="shared" si="6"/>
        <v>DM11161</v>
      </c>
      <c r="B76" s="93">
        <f t="shared" si="7"/>
        <v>41162</v>
      </c>
      <c r="C76" s="145"/>
      <c r="D76" s="145"/>
      <c r="E76" s="139" t="s">
        <v>26</v>
      </c>
      <c r="F76" s="140"/>
      <c r="G76" s="139" t="s">
        <v>27</v>
      </c>
      <c r="H76" s="140"/>
      <c r="I76" s="148"/>
      <c r="J76" s="151"/>
      <c r="K76" s="6">
        <v>161</v>
      </c>
    </row>
    <row r="77" spans="1:11">
      <c r="A77" s="32" t="str">
        <f t="shared" si="6"/>
        <v>DM11162</v>
      </c>
      <c r="B77" s="93">
        <f t="shared" si="7"/>
        <v>41163</v>
      </c>
      <c r="C77" s="146"/>
      <c r="D77" s="146"/>
      <c r="E77" s="139" t="s">
        <v>28</v>
      </c>
      <c r="F77" s="140"/>
      <c r="G77" s="139" t="s">
        <v>29</v>
      </c>
      <c r="H77" s="140"/>
      <c r="I77" s="149"/>
      <c r="J77" s="152"/>
      <c r="K77" s="6">
        <v>162</v>
      </c>
    </row>
    <row r="78" spans="1:11">
      <c r="A78" s="32" t="str">
        <f t="shared" si="6"/>
        <v>DM11163</v>
      </c>
      <c r="B78" s="93">
        <f t="shared" si="7"/>
        <v>41164</v>
      </c>
      <c r="C78" s="144" t="s">
        <v>119</v>
      </c>
      <c r="D78" s="144" t="s">
        <v>58</v>
      </c>
      <c r="E78" s="139" t="s">
        <v>25</v>
      </c>
      <c r="F78" s="140"/>
      <c r="G78" s="139" t="s">
        <v>65</v>
      </c>
      <c r="H78" s="140"/>
      <c r="I78" s="147" t="s">
        <v>120</v>
      </c>
      <c r="J78" s="150" t="s">
        <v>64</v>
      </c>
      <c r="K78" s="6">
        <v>163</v>
      </c>
    </row>
    <row r="79" spans="1:11">
      <c r="A79" s="32" t="str">
        <f t="shared" si="6"/>
        <v>DM11164</v>
      </c>
      <c r="B79" s="93">
        <f t="shared" si="7"/>
        <v>41165</v>
      </c>
      <c r="C79" s="145"/>
      <c r="D79" s="145"/>
      <c r="E79" s="139" t="s">
        <v>26</v>
      </c>
      <c r="F79" s="140"/>
      <c r="G79" s="139" t="s">
        <v>27</v>
      </c>
      <c r="H79" s="140"/>
      <c r="I79" s="148"/>
      <c r="J79" s="151"/>
      <c r="K79" s="6">
        <v>164</v>
      </c>
    </row>
    <row r="80" spans="1:11">
      <c r="A80" s="32" t="str">
        <f t="shared" si="6"/>
        <v>DM11165</v>
      </c>
      <c r="B80" s="93">
        <f t="shared" si="7"/>
        <v>41166</v>
      </c>
      <c r="C80" s="145"/>
      <c r="D80" s="145"/>
      <c r="E80" s="139" t="s">
        <v>28</v>
      </c>
      <c r="F80" s="140"/>
      <c r="G80" s="139" t="s">
        <v>29</v>
      </c>
      <c r="H80" s="140"/>
      <c r="I80" s="148"/>
      <c r="J80" s="151"/>
      <c r="K80" s="6">
        <v>165</v>
      </c>
    </row>
    <row r="81" spans="1:11">
      <c r="A81" s="32" t="str">
        <f t="shared" si="6"/>
        <v>DM11166</v>
      </c>
      <c r="B81" s="93">
        <f t="shared" si="7"/>
        <v>41167</v>
      </c>
      <c r="C81" s="145"/>
      <c r="D81" s="145"/>
      <c r="E81" s="139" t="s">
        <v>30</v>
      </c>
      <c r="F81" s="140"/>
      <c r="G81" s="139" t="s">
        <v>31</v>
      </c>
      <c r="H81" s="140"/>
      <c r="I81" s="148"/>
      <c r="J81" s="151"/>
      <c r="K81" s="6">
        <v>166</v>
      </c>
    </row>
    <row r="82" spans="1:11">
      <c r="A82" s="32" t="str">
        <f t="shared" si="6"/>
        <v>DM11167</v>
      </c>
      <c r="B82" s="93">
        <f t="shared" si="7"/>
        <v>41168</v>
      </c>
      <c r="C82" s="145"/>
      <c r="D82" s="145"/>
      <c r="E82" s="139" t="s">
        <v>11</v>
      </c>
      <c r="F82" s="140"/>
      <c r="G82" s="139" t="s">
        <v>12</v>
      </c>
      <c r="H82" s="140"/>
      <c r="I82" s="148"/>
      <c r="J82" s="151"/>
      <c r="K82" s="6">
        <v>167</v>
      </c>
    </row>
    <row r="83" spans="1:11">
      <c r="A83" s="32" t="str">
        <f t="shared" si="6"/>
        <v>DM11168</v>
      </c>
      <c r="B83" s="93">
        <f t="shared" si="7"/>
        <v>41169</v>
      </c>
      <c r="C83" s="145"/>
      <c r="D83" s="145"/>
      <c r="E83" s="139" t="s">
        <v>13</v>
      </c>
      <c r="F83" s="140"/>
      <c r="G83" s="139" t="s">
        <v>14</v>
      </c>
      <c r="H83" s="140"/>
      <c r="I83" s="148"/>
      <c r="J83" s="151"/>
      <c r="K83" s="6">
        <v>168</v>
      </c>
    </row>
    <row r="84" spans="1:11">
      <c r="A84" s="32" t="str">
        <f t="shared" si="6"/>
        <v>DM11169</v>
      </c>
      <c r="B84" s="93">
        <f t="shared" si="7"/>
        <v>41170</v>
      </c>
      <c r="C84" s="145"/>
      <c r="D84" s="145"/>
      <c r="E84" s="139" t="s">
        <v>16</v>
      </c>
      <c r="F84" s="140"/>
      <c r="G84" s="139" t="s">
        <v>17</v>
      </c>
      <c r="H84" s="140"/>
      <c r="I84" s="148"/>
      <c r="J84" s="151"/>
      <c r="K84" s="6">
        <v>169</v>
      </c>
    </row>
    <row r="85" spans="1:11">
      <c r="A85" s="32" t="str">
        <f t="shared" si="6"/>
        <v>DM11170</v>
      </c>
      <c r="B85" s="93">
        <f t="shared" si="7"/>
        <v>41171</v>
      </c>
      <c r="C85" s="145"/>
      <c r="D85" s="145"/>
      <c r="E85" s="139" t="s">
        <v>18</v>
      </c>
      <c r="F85" s="140"/>
      <c r="G85" s="139" t="s">
        <v>19</v>
      </c>
      <c r="H85" s="140"/>
      <c r="I85" s="148"/>
      <c r="J85" s="151"/>
      <c r="K85" s="6">
        <v>170</v>
      </c>
    </row>
    <row r="86" spans="1:11">
      <c r="A86" s="32" t="str">
        <f t="shared" si="6"/>
        <v>DM11171</v>
      </c>
      <c r="B86" s="93">
        <f t="shared" si="7"/>
        <v>41172</v>
      </c>
      <c r="C86" s="145"/>
      <c r="D86" s="145"/>
      <c r="E86" s="139" t="s">
        <v>20</v>
      </c>
      <c r="F86" s="140"/>
      <c r="G86" s="139" t="s">
        <v>21</v>
      </c>
      <c r="H86" s="140"/>
      <c r="I86" s="148"/>
      <c r="J86" s="151"/>
      <c r="K86" s="6">
        <v>171</v>
      </c>
    </row>
    <row r="87" spans="1:11">
      <c r="A87" s="32" t="str">
        <f t="shared" si="6"/>
        <v>DM11172</v>
      </c>
      <c r="B87" s="93">
        <f t="shared" si="7"/>
        <v>41173</v>
      </c>
      <c r="C87" s="146"/>
      <c r="D87" s="146"/>
      <c r="E87" s="139" t="s">
        <v>22</v>
      </c>
      <c r="F87" s="140"/>
      <c r="G87" s="139" t="s">
        <v>23</v>
      </c>
      <c r="H87" s="140"/>
      <c r="I87" s="149"/>
      <c r="J87" s="152"/>
      <c r="K87" s="6">
        <v>172</v>
      </c>
    </row>
    <row r="88" spans="1:11">
      <c r="A88" s="32" t="str">
        <f t="shared" si="6"/>
        <v>DM11173</v>
      </c>
      <c r="B88" s="93">
        <f t="shared" si="7"/>
        <v>41174</v>
      </c>
      <c r="C88" s="144" t="s">
        <v>121</v>
      </c>
      <c r="D88" s="144" t="s">
        <v>58</v>
      </c>
      <c r="E88" s="139" t="s">
        <v>25</v>
      </c>
      <c r="F88" s="140"/>
      <c r="G88" s="139" t="s">
        <v>65</v>
      </c>
      <c r="H88" s="140"/>
      <c r="I88" s="147" t="s">
        <v>1</v>
      </c>
      <c r="J88" s="150" t="s">
        <v>64</v>
      </c>
      <c r="K88" s="6">
        <v>173</v>
      </c>
    </row>
    <row r="89" spans="1:11">
      <c r="A89" s="32" t="str">
        <f t="shared" si="6"/>
        <v>DM11174</v>
      </c>
      <c r="B89" s="93">
        <f t="shared" ref="B89:B124" si="8">$D$4+K89</f>
        <v>41175</v>
      </c>
      <c r="C89" s="145"/>
      <c r="D89" s="145"/>
      <c r="E89" s="139" t="s">
        <v>26</v>
      </c>
      <c r="F89" s="140"/>
      <c r="G89" s="139" t="s">
        <v>27</v>
      </c>
      <c r="H89" s="140"/>
      <c r="I89" s="148"/>
      <c r="J89" s="151"/>
      <c r="K89" s="6">
        <v>174</v>
      </c>
    </row>
    <row r="90" spans="1:11">
      <c r="A90" s="32" t="str">
        <f t="shared" si="6"/>
        <v>DM11175</v>
      </c>
      <c r="B90" s="93">
        <f t="shared" si="8"/>
        <v>41176</v>
      </c>
      <c r="C90" s="145"/>
      <c r="D90" s="145"/>
      <c r="E90" s="139" t="s">
        <v>28</v>
      </c>
      <c r="F90" s="140"/>
      <c r="G90" s="139" t="s">
        <v>29</v>
      </c>
      <c r="H90" s="140"/>
      <c r="I90" s="148"/>
      <c r="J90" s="151"/>
      <c r="K90" s="6">
        <v>175</v>
      </c>
    </row>
    <row r="91" spans="1:11">
      <c r="A91" s="32" t="str">
        <f t="shared" si="6"/>
        <v>DM11176</v>
      </c>
      <c r="B91" s="93">
        <f t="shared" si="8"/>
        <v>41177</v>
      </c>
      <c r="C91" s="145"/>
      <c r="D91" s="145"/>
      <c r="E91" s="139" t="s">
        <v>30</v>
      </c>
      <c r="F91" s="140"/>
      <c r="G91" s="139" t="s">
        <v>31</v>
      </c>
      <c r="H91" s="140"/>
      <c r="I91" s="148"/>
      <c r="J91" s="151"/>
      <c r="K91" s="6">
        <v>176</v>
      </c>
    </row>
    <row r="92" spans="1:11">
      <c r="A92" s="32" t="str">
        <f t="shared" si="6"/>
        <v>DM11177</v>
      </c>
      <c r="B92" s="93">
        <f t="shared" si="8"/>
        <v>41178</v>
      </c>
      <c r="C92" s="145"/>
      <c r="D92" s="145"/>
      <c r="E92" s="139" t="s">
        <v>11</v>
      </c>
      <c r="F92" s="140"/>
      <c r="G92" s="139" t="s">
        <v>12</v>
      </c>
      <c r="H92" s="140"/>
      <c r="I92" s="148"/>
      <c r="J92" s="151"/>
      <c r="K92" s="6">
        <v>177</v>
      </c>
    </row>
    <row r="93" spans="1:11">
      <c r="A93" s="32" t="str">
        <f t="shared" si="6"/>
        <v>DM11178</v>
      </c>
      <c r="B93" s="93">
        <f t="shared" si="8"/>
        <v>41179</v>
      </c>
      <c r="C93" s="145"/>
      <c r="D93" s="145"/>
      <c r="E93" s="139" t="s">
        <v>13</v>
      </c>
      <c r="F93" s="140"/>
      <c r="G93" s="139" t="s">
        <v>14</v>
      </c>
      <c r="H93" s="140"/>
      <c r="I93" s="148"/>
      <c r="J93" s="151"/>
      <c r="K93" s="6">
        <v>178</v>
      </c>
    </row>
    <row r="94" spans="1:11">
      <c r="A94" s="32" t="str">
        <f t="shared" si="6"/>
        <v>DM11179</v>
      </c>
      <c r="B94" s="93">
        <f t="shared" si="8"/>
        <v>41180</v>
      </c>
      <c r="C94" s="145"/>
      <c r="D94" s="145"/>
      <c r="E94" s="139" t="s">
        <v>16</v>
      </c>
      <c r="F94" s="140"/>
      <c r="G94" s="139" t="s">
        <v>17</v>
      </c>
      <c r="H94" s="140"/>
      <c r="I94" s="148"/>
      <c r="J94" s="151"/>
      <c r="K94" s="6">
        <v>179</v>
      </c>
    </row>
    <row r="95" spans="1:11">
      <c r="A95" s="32" t="str">
        <f t="shared" si="6"/>
        <v>DM11180</v>
      </c>
      <c r="B95" s="93">
        <f t="shared" si="8"/>
        <v>41181</v>
      </c>
      <c r="C95" s="145"/>
      <c r="D95" s="145"/>
      <c r="E95" s="139" t="s">
        <v>18</v>
      </c>
      <c r="F95" s="140"/>
      <c r="G95" s="139" t="s">
        <v>19</v>
      </c>
      <c r="H95" s="140"/>
      <c r="I95" s="148"/>
      <c r="J95" s="151"/>
      <c r="K95" s="6">
        <v>180</v>
      </c>
    </row>
    <row r="96" spans="1:11">
      <c r="A96" s="32" t="str">
        <f t="shared" si="6"/>
        <v>DM11181</v>
      </c>
      <c r="B96" s="93">
        <f t="shared" si="8"/>
        <v>41182</v>
      </c>
      <c r="C96" s="145"/>
      <c r="D96" s="145"/>
      <c r="E96" s="139" t="s">
        <v>20</v>
      </c>
      <c r="F96" s="140"/>
      <c r="G96" s="139" t="s">
        <v>21</v>
      </c>
      <c r="H96" s="140"/>
      <c r="I96" s="148"/>
      <c r="J96" s="151"/>
      <c r="K96" s="6">
        <v>181</v>
      </c>
    </row>
    <row r="97" spans="1:11">
      <c r="A97" s="32" t="str">
        <f t="shared" si="6"/>
        <v>DM11182</v>
      </c>
      <c r="B97" s="93">
        <f t="shared" si="8"/>
        <v>41183</v>
      </c>
      <c r="C97" s="146"/>
      <c r="D97" s="146"/>
      <c r="E97" s="139" t="s">
        <v>22</v>
      </c>
      <c r="F97" s="140"/>
      <c r="G97" s="139" t="s">
        <v>23</v>
      </c>
      <c r="H97" s="140"/>
      <c r="I97" s="149"/>
      <c r="J97" s="152"/>
      <c r="K97" s="6">
        <v>182</v>
      </c>
    </row>
    <row r="98" spans="1:11">
      <c r="A98" s="32" t="str">
        <f t="shared" si="6"/>
        <v>DM11183</v>
      </c>
      <c r="B98" s="93">
        <f t="shared" si="8"/>
        <v>41184</v>
      </c>
      <c r="C98" s="144" t="s">
        <v>122</v>
      </c>
      <c r="D98" s="144" t="s">
        <v>58</v>
      </c>
      <c r="E98" s="139" t="s">
        <v>25</v>
      </c>
      <c r="F98" s="140"/>
      <c r="G98" s="139" t="s">
        <v>65</v>
      </c>
      <c r="H98" s="140"/>
      <c r="I98" s="147" t="s">
        <v>123</v>
      </c>
      <c r="J98" s="150" t="s">
        <v>64</v>
      </c>
      <c r="K98" s="6">
        <v>183</v>
      </c>
    </row>
    <row r="99" spans="1:11">
      <c r="A99" s="32" t="str">
        <f t="shared" si="6"/>
        <v>DM11184</v>
      </c>
      <c r="B99" s="93">
        <f t="shared" si="8"/>
        <v>41185</v>
      </c>
      <c r="C99" s="145"/>
      <c r="D99" s="145"/>
      <c r="E99" s="139" t="s">
        <v>26</v>
      </c>
      <c r="F99" s="140"/>
      <c r="G99" s="139" t="s">
        <v>27</v>
      </c>
      <c r="H99" s="140"/>
      <c r="I99" s="148"/>
      <c r="J99" s="151"/>
      <c r="K99" s="6">
        <v>184</v>
      </c>
    </row>
    <row r="100" spans="1:11">
      <c r="A100" s="32" t="str">
        <f t="shared" si="6"/>
        <v>DM11185</v>
      </c>
      <c r="B100" s="93">
        <f t="shared" si="8"/>
        <v>41186</v>
      </c>
      <c r="C100" s="145"/>
      <c r="D100" s="145"/>
      <c r="E100" s="139" t="s">
        <v>28</v>
      </c>
      <c r="F100" s="140"/>
      <c r="G100" s="139" t="s">
        <v>29</v>
      </c>
      <c r="H100" s="140"/>
      <c r="I100" s="148"/>
      <c r="J100" s="151"/>
      <c r="K100" s="6">
        <v>185</v>
      </c>
    </row>
    <row r="101" spans="1:11">
      <c r="A101" s="32" t="str">
        <f t="shared" si="6"/>
        <v>DM11186</v>
      </c>
      <c r="B101" s="93">
        <f t="shared" si="8"/>
        <v>41187</v>
      </c>
      <c r="C101" s="145"/>
      <c r="D101" s="145"/>
      <c r="E101" s="139" t="s">
        <v>30</v>
      </c>
      <c r="F101" s="140"/>
      <c r="G101" s="139" t="s">
        <v>31</v>
      </c>
      <c r="H101" s="140"/>
      <c r="I101" s="148"/>
      <c r="J101" s="151"/>
      <c r="K101" s="6">
        <v>186</v>
      </c>
    </row>
    <row r="102" spans="1:11">
      <c r="A102" s="32" t="str">
        <f t="shared" si="6"/>
        <v>DM11187</v>
      </c>
      <c r="B102" s="93">
        <f t="shared" si="8"/>
        <v>41188</v>
      </c>
      <c r="C102" s="145"/>
      <c r="D102" s="145"/>
      <c r="E102" s="139" t="s">
        <v>11</v>
      </c>
      <c r="F102" s="140"/>
      <c r="G102" s="139" t="s">
        <v>12</v>
      </c>
      <c r="H102" s="140"/>
      <c r="I102" s="148"/>
      <c r="J102" s="151"/>
      <c r="K102" s="6">
        <v>187</v>
      </c>
    </row>
    <row r="103" spans="1:11">
      <c r="A103" s="32" t="str">
        <f t="shared" si="6"/>
        <v>DM11188</v>
      </c>
      <c r="B103" s="93">
        <f t="shared" si="8"/>
        <v>41189</v>
      </c>
      <c r="C103" s="145"/>
      <c r="D103" s="145"/>
      <c r="E103" s="139" t="s">
        <v>13</v>
      </c>
      <c r="F103" s="140"/>
      <c r="G103" s="139" t="s">
        <v>14</v>
      </c>
      <c r="H103" s="140"/>
      <c r="I103" s="148"/>
      <c r="J103" s="151"/>
      <c r="K103" s="6">
        <v>188</v>
      </c>
    </row>
    <row r="104" spans="1:11">
      <c r="A104" s="32" t="str">
        <f t="shared" si="6"/>
        <v>DM11189</v>
      </c>
      <c r="B104" s="93">
        <f t="shared" si="8"/>
        <v>41190</v>
      </c>
      <c r="C104" s="145"/>
      <c r="D104" s="145"/>
      <c r="E104" s="139" t="s">
        <v>16</v>
      </c>
      <c r="F104" s="140"/>
      <c r="G104" s="139" t="s">
        <v>17</v>
      </c>
      <c r="H104" s="140"/>
      <c r="I104" s="148"/>
      <c r="J104" s="151"/>
      <c r="K104" s="6">
        <v>189</v>
      </c>
    </row>
    <row r="105" spans="1:11">
      <c r="A105" s="32" t="str">
        <f t="shared" si="6"/>
        <v>DM11190</v>
      </c>
      <c r="B105" s="93">
        <f t="shared" si="8"/>
        <v>41191</v>
      </c>
      <c r="C105" s="145"/>
      <c r="D105" s="145"/>
      <c r="E105" s="139" t="s">
        <v>18</v>
      </c>
      <c r="F105" s="140"/>
      <c r="G105" s="139" t="s">
        <v>19</v>
      </c>
      <c r="H105" s="140"/>
      <c r="I105" s="148"/>
      <c r="J105" s="151"/>
      <c r="K105" s="6">
        <v>190</v>
      </c>
    </row>
    <row r="106" spans="1:11">
      <c r="A106" s="32" t="str">
        <f t="shared" si="6"/>
        <v>DM11191</v>
      </c>
      <c r="B106" s="93">
        <f t="shared" si="8"/>
        <v>41192</v>
      </c>
      <c r="C106" s="145"/>
      <c r="D106" s="145"/>
      <c r="E106" s="139" t="s">
        <v>20</v>
      </c>
      <c r="F106" s="140"/>
      <c r="G106" s="139" t="s">
        <v>21</v>
      </c>
      <c r="H106" s="140"/>
      <c r="I106" s="148"/>
      <c r="J106" s="151"/>
      <c r="K106" s="6">
        <v>191</v>
      </c>
    </row>
    <row r="107" spans="1:11">
      <c r="A107" s="32" t="str">
        <f t="shared" si="6"/>
        <v>DM11192</v>
      </c>
      <c r="B107" s="93">
        <f t="shared" si="8"/>
        <v>41193</v>
      </c>
      <c r="C107" s="146"/>
      <c r="D107" s="146"/>
      <c r="E107" s="139" t="s">
        <v>22</v>
      </c>
      <c r="F107" s="140"/>
      <c r="G107" s="139" t="s">
        <v>23</v>
      </c>
      <c r="H107" s="140"/>
      <c r="I107" s="149"/>
      <c r="J107" s="152"/>
      <c r="K107" s="6">
        <v>192</v>
      </c>
    </row>
    <row r="108" spans="1:11">
      <c r="A108" s="32" t="str">
        <f t="shared" si="6"/>
        <v>DM11193</v>
      </c>
      <c r="B108" s="93">
        <f t="shared" si="8"/>
        <v>41194</v>
      </c>
      <c r="C108" s="144" t="s">
        <v>124</v>
      </c>
      <c r="D108" s="144" t="s">
        <v>81</v>
      </c>
      <c r="E108" s="139" t="s">
        <v>25</v>
      </c>
      <c r="F108" s="140"/>
      <c r="G108" s="139" t="s">
        <v>65</v>
      </c>
      <c r="H108" s="140"/>
      <c r="I108" s="147" t="s">
        <v>125</v>
      </c>
      <c r="J108" s="150" t="s">
        <v>64</v>
      </c>
      <c r="K108" s="6">
        <v>193</v>
      </c>
    </row>
    <row r="109" spans="1:11">
      <c r="A109" s="32" t="str">
        <f t="shared" si="6"/>
        <v>DM11194</v>
      </c>
      <c r="B109" s="93">
        <f t="shared" si="8"/>
        <v>41195</v>
      </c>
      <c r="C109" s="145"/>
      <c r="D109" s="145"/>
      <c r="E109" s="139" t="s">
        <v>26</v>
      </c>
      <c r="F109" s="140"/>
      <c r="G109" s="139" t="s">
        <v>27</v>
      </c>
      <c r="H109" s="140"/>
      <c r="I109" s="148"/>
      <c r="J109" s="151"/>
      <c r="K109" s="6">
        <v>194</v>
      </c>
    </row>
    <row r="110" spans="1:11">
      <c r="A110" s="32" t="str">
        <f t="shared" si="6"/>
        <v>DM11195</v>
      </c>
      <c r="B110" s="93">
        <f t="shared" si="8"/>
        <v>41196</v>
      </c>
      <c r="C110" s="145"/>
      <c r="D110" s="145"/>
      <c r="E110" s="139" t="s">
        <v>28</v>
      </c>
      <c r="F110" s="140"/>
      <c r="G110" s="139" t="s">
        <v>29</v>
      </c>
      <c r="H110" s="140"/>
      <c r="I110" s="148"/>
      <c r="J110" s="151"/>
      <c r="K110" s="6">
        <v>195</v>
      </c>
    </row>
    <row r="111" spans="1:11">
      <c r="A111" s="32" t="str">
        <f t="shared" si="6"/>
        <v>DM11196</v>
      </c>
      <c r="B111" s="93">
        <f t="shared" si="8"/>
        <v>41197</v>
      </c>
      <c r="C111" s="145"/>
      <c r="D111" s="145"/>
      <c r="E111" s="139" t="s">
        <v>30</v>
      </c>
      <c r="F111" s="140"/>
      <c r="G111" s="139" t="s">
        <v>31</v>
      </c>
      <c r="H111" s="140"/>
      <c r="I111" s="148"/>
      <c r="J111" s="151"/>
      <c r="K111" s="6">
        <v>196</v>
      </c>
    </row>
    <row r="112" spans="1:11">
      <c r="A112" s="32" t="str">
        <f t="shared" si="6"/>
        <v>DM11197</v>
      </c>
      <c r="B112" s="93">
        <f t="shared" si="8"/>
        <v>41198</v>
      </c>
      <c r="C112" s="145"/>
      <c r="D112" s="145"/>
      <c r="E112" s="139" t="s">
        <v>11</v>
      </c>
      <c r="F112" s="140"/>
      <c r="G112" s="139" t="s">
        <v>12</v>
      </c>
      <c r="H112" s="140"/>
      <c r="I112" s="148"/>
      <c r="J112" s="151"/>
      <c r="K112" s="6">
        <v>197</v>
      </c>
    </row>
    <row r="113" spans="1:11">
      <c r="A113" s="32" t="str">
        <f t="shared" si="6"/>
        <v>DM11198</v>
      </c>
      <c r="B113" s="93">
        <f t="shared" si="8"/>
        <v>41199</v>
      </c>
      <c r="C113" s="145"/>
      <c r="D113" s="145"/>
      <c r="E113" s="139" t="s">
        <v>13</v>
      </c>
      <c r="F113" s="140"/>
      <c r="G113" s="139" t="s">
        <v>14</v>
      </c>
      <c r="H113" s="140"/>
      <c r="I113" s="148"/>
      <c r="J113" s="151"/>
      <c r="K113" s="6">
        <v>198</v>
      </c>
    </row>
    <row r="114" spans="1:11">
      <c r="A114" s="32" t="str">
        <f t="shared" si="6"/>
        <v>DM11199</v>
      </c>
      <c r="B114" s="93">
        <f t="shared" si="8"/>
        <v>41200</v>
      </c>
      <c r="C114" s="145"/>
      <c r="D114" s="145"/>
      <c r="E114" s="139" t="s">
        <v>16</v>
      </c>
      <c r="F114" s="140"/>
      <c r="G114" s="139" t="s">
        <v>17</v>
      </c>
      <c r="H114" s="140"/>
      <c r="I114" s="148"/>
      <c r="J114" s="151"/>
      <c r="K114" s="6">
        <v>199</v>
      </c>
    </row>
    <row r="115" spans="1:11">
      <c r="A115" s="32" t="str">
        <f t="shared" si="6"/>
        <v>DM11200</v>
      </c>
      <c r="B115" s="93">
        <f t="shared" si="8"/>
        <v>41201</v>
      </c>
      <c r="C115" s="145"/>
      <c r="D115" s="145"/>
      <c r="E115" s="139" t="s">
        <v>18</v>
      </c>
      <c r="F115" s="140"/>
      <c r="G115" s="139" t="s">
        <v>19</v>
      </c>
      <c r="H115" s="140"/>
      <c r="I115" s="148"/>
      <c r="J115" s="151"/>
      <c r="K115" s="6">
        <v>200</v>
      </c>
    </row>
    <row r="116" spans="1:11">
      <c r="A116" s="32" t="str">
        <f t="shared" si="6"/>
        <v>DM11201</v>
      </c>
      <c r="B116" s="93">
        <f t="shared" si="8"/>
        <v>41202</v>
      </c>
      <c r="C116" s="145"/>
      <c r="D116" s="145"/>
      <c r="E116" s="139" t="s">
        <v>20</v>
      </c>
      <c r="F116" s="140"/>
      <c r="G116" s="139" t="s">
        <v>21</v>
      </c>
      <c r="H116" s="140"/>
      <c r="I116" s="148"/>
      <c r="J116" s="151"/>
      <c r="K116" s="6">
        <v>201</v>
      </c>
    </row>
    <row r="117" spans="1:11">
      <c r="A117" s="32" t="str">
        <f t="shared" si="6"/>
        <v>DM11202</v>
      </c>
      <c r="B117" s="93">
        <f t="shared" si="8"/>
        <v>41203</v>
      </c>
      <c r="C117" s="146"/>
      <c r="D117" s="146"/>
      <c r="E117" s="139" t="s">
        <v>22</v>
      </c>
      <c r="F117" s="140"/>
      <c r="G117" s="139" t="s">
        <v>23</v>
      </c>
      <c r="H117" s="140"/>
      <c r="I117" s="149"/>
      <c r="J117" s="152"/>
      <c r="K117" s="6">
        <v>202</v>
      </c>
    </row>
    <row r="118" spans="1:11">
      <c r="A118" s="32" t="str">
        <f t="shared" si="6"/>
        <v>DM11203</v>
      </c>
      <c r="B118" s="93">
        <f t="shared" si="8"/>
        <v>41204</v>
      </c>
      <c r="C118" s="69" t="s">
        <v>126</v>
      </c>
      <c r="D118" s="73" t="s">
        <v>81</v>
      </c>
      <c r="E118" s="60" t="s">
        <v>263</v>
      </c>
      <c r="F118" s="60" t="s">
        <v>263</v>
      </c>
      <c r="G118" s="60" t="s">
        <v>263</v>
      </c>
      <c r="H118" s="60" t="s">
        <v>263</v>
      </c>
      <c r="I118" s="70" t="s">
        <v>127</v>
      </c>
      <c r="J118" s="71" t="s">
        <v>128</v>
      </c>
      <c r="K118" s="6">
        <v>203</v>
      </c>
    </row>
    <row r="119" spans="1:11">
      <c r="A119" s="32" t="str">
        <f t="shared" ref="A119:A133" si="9">LEFT($D$3, 2) &amp; (MID($D$3, 3, LEN($D$3)) + K119)</f>
        <v>DM11204</v>
      </c>
      <c r="B119" s="93">
        <f t="shared" si="8"/>
        <v>41205</v>
      </c>
      <c r="C119" s="41" t="s">
        <v>0</v>
      </c>
      <c r="D119" s="41"/>
      <c r="E119" s="10"/>
      <c r="F119" s="10"/>
      <c r="G119" s="10"/>
      <c r="H119" s="10"/>
      <c r="I119" s="80"/>
      <c r="J119" s="81"/>
      <c r="K119" s="6">
        <v>204</v>
      </c>
    </row>
    <row r="120" spans="1:11">
      <c r="A120" s="32" t="str">
        <f t="shared" si="9"/>
        <v>DM11205</v>
      </c>
      <c r="B120" s="93">
        <f t="shared" si="8"/>
        <v>41206</v>
      </c>
      <c r="C120" s="41" t="s">
        <v>0</v>
      </c>
      <c r="D120" s="41"/>
      <c r="E120" s="10"/>
      <c r="F120" s="10"/>
      <c r="G120" s="10"/>
      <c r="H120" s="10"/>
      <c r="I120" s="80"/>
      <c r="J120" s="81"/>
      <c r="K120" s="6">
        <v>205</v>
      </c>
    </row>
    <row r="121" spans="1:11">
      <c r="A121" s="32" t="str">
        <f t="shared" si="9"/>
        <v>DM11206</v>
      </c>
      <c r="B121" s="93">
        <f t="shared" si="8"/>
        <v>41207</v>
      </c>
      <c r="C121" s="41" t="s">
        <v>0</v>
      </c>
      <c r="D121" s="41"/>
      <c r="E121" s="10"/>
      <c r="F121" s="10"/>
      <c r="G121" s="10"/>
      <c r="H121" s="10"/>
      <c r="I121" s="80"/>
      <c r="J121" s="81"/>
      <c r="K121" s="6">
        <v>206</v>
      </c>
    </row>
    <row r="122" spans="1:11">
      <c r="A122" s="32" t="str">
        <f t="shared" si="9"/>
        <v>DM11207</v>
      </c>
      <c r="B122" s="93">
        <f t="shared" si="8"/>
        <v>41208</v>
      </c>
      <c r="C122" s="41" t="s">
        <v>0</v>
      </c>
      <c r="D122" s="41"/>
      <c r="E122" s="10"/>
      <c r="F122" s="10"/>
      <c r="G122" s="10"/>
      <c r="H122" s="10"/>
      <c r="I122" s="80"/>
      <c r="J122" s="81"/>
      <c r="K122" s="6">
        <v>207</v>
      </c>
    </row>
    <row r="123" spans="1:11">
      <c r="A123" s="32" t="str">
        <f t="shared" si="9"/>
        <v>DM11208</v>
      </c>
      <c r="B123" s="93">
        <f t="shared" si="8"/>
        <v>41209</v>
      </c>
      <c r="C123" s="41" t="s">
        <v>0</v>
      </c>
      <c r="D123" s="41"/>
      <c r="E123" s="10"/>
      <c r="F123" s="10"/>
      <c r="G123" s="10"/>
      <c r="H123" s="10"/>
      <c r="I123" s="80"/>
      <c r="J123" s="81"/>
      <c r="K123" s="6">
        <v>208</v>
      </c>
    </row>
    <row r="124" spans="1:11">
      <c r="A124" s="32" t="str">
        <f t="shared" si="9"/>
        <v>DM11209</v>
      </c>
      <c r="B124" s="93">
        <f t="shared" si="8"/>
        <v>41210</v>
      </c>
      <c r="C124" s="41" t="s">
        <v>0</v>
      </c>
      <c r="D124" s="41"/>
      <c r="E124" s="10"/>
      <c r="F124" s="10"/>
      <c r="G124" s="10"/>
      <c r="H124" s="10"/>
      <c r="I124" s="80"/>
      <c r="J124" s="81"/>
      <c r="K124" s="6">
        <v>209</v>
      </c>
    </row>
    <row r="125" spans="1:11">
      <c r="A125" s="32" t="str">
        <f t="shared" si="9"/>
        <v>DM11210</v>
      </c>
      <c r="B125" s="93">
        <f t="shared" ref="B125:B157" si="10">$D$4+K125</f>
        <v>41211</v>
      </c>
      <c r="C125" s="41" t="s">
        <v>0</v>
      </c>
      <c r="D125" s="41"/>
      <c r="E125" s="10"/>
      <c r="F125" s="10"/>
      <c r="G125" s="10"/>
      <c r="H125" s="10"/>
      <c r="I125" s="80"/>
      <c r="J125" s="81"/>
      <c r="K125" s="6">
        <v>210</v>
      </c>
    </row>
    <row r="126" spans="1:11">
      <c r="A126" s="32" t="str">
        <f t="shared" si="9"/>
        <v>DM11211</v>
      </c>
      <c r="B126" s="93">
        <f t="shared" si="10"/>
        <v>41212</v>
      </c>
      <c r="C126" s="41" t="s">
        <v>0</v>
      </c>
      <c r="D126" s="41"/>
      <c r="E126" s="10"/>
      <c r="F126" s="10"/>
      <c r="G126" s="10"/>
      <c r="H126" s="10"/>
      <c r="I126" s="80"/>
      <c r="J126" s="81"/>
      <c r="K126" s="6">
        <v>211</v>
      </c>
    </row>
    <row r="127" spans="1:11">
      <c r="A127" s="32" t="str">
        <f t="shared" si="9"/>
        <v>DM11212</v>
      </c>
      <c r="B127" s="93">
        <f t="shared" si="10"/>
        <v>41213</v>
      </c>
      <c r="C127" s="41" t="s">
        <v>0</v>
      </c>
      <c r="D127" s="41"/>
      <c r="E127" s="10"/>
      <c r="F127" s="10"/>
      <c r="G127" s="10"/>
      <c r="H127" s="10"/>
      <c r="I127" s="80"/>
      <c r="J127" s="81"/>
      <c r="K127" s="6">
        <v>212</v>
      </c>
    </row>
    <row r="128" spans="1:11">
      <c r="A128" s="32" t="str">
        <f t="shared" si="9"/>
        <v>DM11213</v>
      </c>
      <c r="B128" s="93">
        <f t="shared" si="10"/>
        <v>41214</v>
      </c>
      <c r="C128" s="41" t="s">
        <v>0</v>
      </c>
      <c r="D128" s="41"/>
      <c r="E128" s="10"/>
      <c r="F128" s="10"/>
      <c r="G128" s="10"/>
      <c r="H128" s="10"/>
      <c r="I128" s="80"/>
      <c r="J128" s="81"/>
      <c r="K128" s="6">
        <v>213</v>
      </c>
    </row>
    <row r="129" spans="1:11">
      <c r="A129" s="32" t="str">
        <f t="shared" si="9"/>
        <v>DM11214</v>
      </c>
      <c r="B129" s="93">
        <f t="shared" si="10"/>
        <v>41215</v>
      </c>
      <c r="C129" s="41" t="s">
        <v>0</v>
      </c>
      <c r="D129" s="41"/>
      <c r="E129" s="10"/>
      <c r="F129" s="10"/>
      <c r="G129" s="10"/>
      <c r="H129" s="10"/>
      <c r="I129" s="80"/>
      <c r="J129" s="81"/>
      <c r="K129" s="6">
        <v>214</v>
      </c>
    </row>
    <row r="130" spans="1:11">
      <c r="A130" s="32" t="str">
        <f t="shared" si="9"/>
        <v>DM11215</v>
      </c>
      <c r="B130" s="93">
        <f t="shared" si="10"/>
        <v>41216</v>
      </c>
      <c r="C130" s="69" t="s">
        <v>114</v>
      </c>
      <c r="D130" s="73" t="s">
        <v>116</v>
      </c>
      <c r="E130" s="60">
        <v>0</v>
      </c>
      <c r="F130" s="61">
        <v>0</v>
      </c>
      <c r="G130" s="61">
        <v>0</v>
      </c>
      <c r="H130" s="45" t="s">
        <v>115</v>
      </c>
      <c r="I130" s="70" t="s">
        <v>159</v>
      </c>
      <c r="J130" s="71" t="s">
        <v>156</v>
      </c>
      <c r="K130" s="6">
        <v>215</v>
      </c>
    </row>
    <row r="131" spans="1:11" ht="15" customHeight="1">
      <c r="A131" s="32" t="str">
        <f t="shared" si="9"/>
        <v>DM11216</v>
      </c>
      <c r="B131" s="93">
        <f t="shared" si="10"/>
        <v>41217</v>
      </c>
      <c r="C131" s="94" t="s">
        <v>194</v>
      </c>
      <c r="D131" s="102" t="s">
        <v>116</v>
      </c>
      <c r="E131" s="61">
        <v>0</v>
      </c>
      <c r="F131" s="61">
        <v>0</v>
      </c>
      <c r="G131" s="99" t="s">
        <v>198</v>
      </c>
      <c r="H131" s="99" t="s">
        <v>198</v>
      </c>
      <c r="I131" s="100" t="s">
        <v>199</v>
      </c>
      <c r="J131" s="101" t="s">
        <v>200</v>
      </c>
      <c r="K131" s="6">
        <v>216</v>
      </c>
    </row>
    <row r="132" spans="1:11">
      <c r="A132" s="32" t="str">
        <f t="shared" si="9"/>
        <v>DM11217</v>
      </c>
      <c r="B132" s="93">
        <f t="shared" si="10"/>
        <v>41218</v>
      </c>
      <c r="C132" s="144" t="s">
        <v>129</v>
      </c>
      <c r="D132" s="144" t="s">
        <v>116</v>
      </c>
      <c r="E132" s="139" t="s">
        <v>25</v>
      </c>
      <c r="F132" s="140"/>
      <c r="G132" s="139" t="s">
        <v>65</v>
      </c>
      <c r="H132" s="140"/>
      <c r="I132" s="147" t="s">
        <v>130</v>
      </c>
      <c r="J132" s="150" t="s">
        <v>64</v>
      </c>
      <c r="K132" s="6">
        <v>217</v>
      </c>
    </row>
    <row r="133" spans="1:11">
      <c r="A133" s="32" t="str">
        <f t="shared" si="9"/>
        <v>DM11218</v>
      </c>
      <c r="B133" s="93">
        <f t="shared" si="10"/>
        <v>41219</v>
      </c>
      <c r="C133" s="145"/>
      <c r="D133" s="145"/>
      <c r="E133" s="139" t="s">
        <v>26</v>
      </c>
      <c r="F133" s="140"/>
      <c r="G133" s="139" t="s">
        <v>27</v>
      </c>
      <c r="H133" s="140"/>
      <c r="I133" s="148"/>
      <c r="J133" s="151"/>
      <c r="K133" s="6">
        <v>218</v>
      </c>
    </row>
    <row r="134" spans="1:11">
      <c r="A134" s="32" t="str">
        <f t="shared" ref="A134:A197" si="11">LEFT($D$3, 2) &amp; (MID($D$3, 3, LEN($D$3)) + K134)</f>
        <v>DM11219</v>
      </c>
      <c r="B134" s="93">
        <f t="shared" si="10"/>
        <v>41220</v>
      </c>
      <c r="C134" s="145"/>
      <c r="D134" s="145"/>
      <c r="E134" s="139" t="s">
        <v>28</v>
      </c>
      <c r="F134" s="140"/>
      <c r="G134" s="139" t="s">
        <v>29</v>
      </c>
      <c r="H134" s="140"/>
      <c r="I134" s="148"/>
      <c r="J134" s="151"/>
      <c r="K134" s="6">
        <v>219</v>
      </c>
    </row>
    <row r="135" spans="1:11">
      <c r="A135" s="32" t="str">
        <f t="shared" si="11"/>
        <v>DM11220</v>
      </c>
      <c r="B135" s="93">
        <f t="shared" si="10"/>
        <v>41221</v>
      </c>
      <c r="C135" s="145"/>
      <c r="D135" s="145"/>
      <c r="E135" s="139" t="s">
        <v>30</v>
      </c>
      <c r="F135" s="140"/>
      <c r="G135" s="139" t="s">
        <v>31</v>
      </c>
      <c r="H135" s="140"/>
      <c r="I135" s="148"/>
      <c r="J135" s="151"/>
      <c r="K135" s="6">
        <v>220</v>
      </c>
    </row>
    <row r="136" spans="1:11">
      <c r="A136" s="32" t="str">
        <f t="shared" si="11"/>
        <v>DM11221</v>
      </c>
      <c r="B136" s="93">
        <f t="shared" si="10"/>
        <v>41222</v>
      </c>
      <c r="C136" s="145"/>
      <c r="D136" s="145"/>
      <c r="E136" s="139" t="s">
        <v>11</v>
      </c>
      <c r="F136" s="140"/>
      <c r="G136" s="139" t="s">
        <v>12</v>
      </c>
      <c r="H136" s="140"/>
      <c r="I136" s="148"/>
      <c r="J136" s="151"/>
      <c r="K136" s="6">
        <v>221</v>
      </c>
    </row>
    <row r="137" spans="1:11">
      <c r="A137" s="32" t="str">
        <f t="shared" si="11"/>
        <v>DM11222</v>
      </c>
      <c r="B137" s="93">
        <f t="shared" si="10"/>
        <v>41223</v>
      </c>
      <c r="C137" s="145"/>
      <c r="D137" s="145"/>
      <c r="E137" s="139" t="s">
        <v>13</v>
      </c>
      <c r="F137" s="140"/>
      <c r="G137" s="139" t="s">
        <v>14</v>
      </c>
      <c r="H137" s="140"/>
      <c r="I137" s="148"/>
      <c r="J137" s="151"/>
      <c r="K137" s="6">
        <v>222</v>
      </c>
    </row>
    <row r="138" spans="1:11">
      <c r="A138" s="32" t="str">
        <f t="shared" si="11"/>
        <v>DM11223</v>
      </c>
      <c r="B138" s="93">
        <f t="shared" si="10"/>
        <v>41224</v>
      </c>
      <c r="C138" s="145"/>
      <c r="D138" s="145"/>
      <c r="E138" s="139" t="s">
        <v>16</v>
      </c>
      <c r="F138" s="140"/>
      <c r="G138" s="139" t="s">
        <v>17</v>
      </c>
      <c r="H138" s="140"/>
      <c r="I138" s="148"/>
      <c r="J138" s="151"/>
      <c r="K138" s="6">
        <v>223</v>
      </c>
    </row>
    <row r="139" spans="1:11">
      <c r="A139" s="32" t="str">
        <f t="shared" si="11"/>
        <v>DM11224</v>
      </c>
      <c r="B139" s="93">
        <f t="shared" si="10"/>
        <v>41225</v>
      </c>
      <c r="C139" s="145"/>
      <c r="D139" s="145"/>
      <c r="E139" s="139" t="s">
        <v>18</v>
      </c>
      <c r="F139" s="140"/>
      <c r="G139" s="139" t="s">
        <v>19</v>
      </c>
      <c r="H139" s="140"/>
      <c r="I139" s="148"/>
      <c r="J139" s="151"/>
      <c r="K139" s="6">
        <v>224</v>
      </c>
    </row>
    <row r="140" spans="1:11">
      <c r="A140" s="32" t="str">
        <f t="shared" si="11"/>
        <v>DM11225</v>
      </c>
      <c r="B140" s="93">
        <f t="shared" si="10"/>
        <v>41226</v>
      </c>
      <c r="C140" s="145"/>
      <c r="D140" s="145"/>
      <c r="E140" s="139" t="s">
        <v>20</v>
      </c>
      <c r="F140" s="140"/>
      <c r="G140" s="139" t="s">
        <v>21</v>
      </c>
      <c r="H140" s="140"/>
      <c r="I140" s="148"/>
      <c r="J140" s="151"/>
      <c r="K140" s="6">
        <v>225</v>
      </c>
    </row>
    <row r="141" spans="1:11">
      <c r="A141" s="32" t="str">
        <f t="shared" si="11"/>
        <v>DM11226</v>
      </c>
      <c r="B141" s="93">
        <f t="shared" si="10"/>
        <v>41227</v>
      </c>
      <c r="C141" s="146"/>
      <c r="D141" s="146"/>
      <c r="E141" s="139" t="s">
        <v>22</v>
      </c>
      <c r="F141" s="140"/>
      <c r="G141" s="139" t="s">
        <v>23</v>
      </c>
      <c r="H141" s="140"/>
      <c r="I141" s="149"/>
      <c r="J141" s="152"/>
      <c r="K141" s="6">
        <v>226</v>
      </c>
    </row>
    <row r="142" spans="1:11">
      <c r="A142" s="32" t="str">
        <f t="shared" si="11"/>
        <v>DM11227</v>
      </c>
      <c r="B142" s="93">
        <f t="shared" si="10"/>
        <v>41228</v>
      </c>
      <c r="C142" s="144" t="s">
        <v>131</v>
      </c>
      <c r="D142" s="144" t="s">
        <v>116</v>
      </c>
      <c r="E142" s="139" t="s">
        <v>25</v>
      </c>
      <c r="F142" s="140"/>
      <c r="G142" s="139" t="s">
        <v>65</v>
      </c>
      <c r="H142" s="140"/>
      <c r="I142" s="147" t="s">
        <v>132</v>
      </c>
      <c r="J142" s="150" t="s">
        <v>64</v>
      </c>
      <c r="K142" s="6">
        <v>227</v>
      </c>
    </row>
    <row r="143" spans="1:11">
      <c r="A143" s="32" t="str">
        <f t="shared" si="11"/>
        <v>DM11228</v>
      </c>
      <c r="B143" s="93">
        <f t="shared" si="10"/>
        <v>41229</v>
      </c>
      <c r="C143" s="145"/>
      <c r="D143" s="145"/>
      <c r="E143" s="139" t="s">
        <v>26</v>
      </c>
      <c r="F143" s="140"/>
      <c r="G143" s="139" t="s">
        <v>27</v>
      </c>
      <c r="H143" s="140"/>
      <c r="I143" s="148"/>
      <c r="J143" s="151"/>
      <c r="K143" s="6">
        <v>228</v>
      </c>
    </row>
    <row r="144" spans="1:11">
      <c r="A144" s="32" t="str">
        <f t="shared" si="11"/>
        <v>DM11229</v>
      </c>
      <c r="B144" s="93">
        <f t="shared" si="10"/>
        <v>41230</v>
      </c>
      <c r="C144" s="145"/>
      <c r="D144" s="145"/>
      <c r="E144" s="139" t="s">
        <v>28</v>
      </c>
      <c r="F144" s="140"/>
      <c r="G144" s="139" t="s">
        <v>29</v>
      </c>
      <c r="H144" s="140"/>
      <c r="I144" s="148"/>
      <c r="J144" s="151"/>
      <c r="K144" s="6">
        <v>229</v>
      </c>
    </row>
    <row r="145" spans="1:11">
      <c r="A145" s="32" t="str">
        <f t="shared" si="11"/>
        <v>DM11230</v>
      </c>
      <c r="B145" s="93">
        <f t="shared" si="10"/>
        <v>41231</v>
      </c>
      <c r="C145" s="145"/>
      <c r="D145" s="145"/>
      <c r="E145" s="139" t="s">
        <v>30</v>
      </c>
      <c r="F145" s="140"/>
      <c r="G145" s="139" t="s">
        <v>31</v>
      </c>
      <c r="H145" s="140"/>
      <c r="I145" s="148"/>
      <c r="J145" s="151"/>
      <c r="K145" s="6">
        <v>230</v>
      </c>
    </row>
    <row r="146" spans="1:11">
      <c r="A146" s="32" t="str">
        <f t="shared" si="11"/>
        <v>DM11231</v>
      </c>
      <c r="B146" s="93">
        <f t="shared" si="10"/>
        <v>41232</v>
      </c>
      <c r="C146" s="145"/>
      <c r="D146" s="145"/>
      <c r="E146" s="139" t="s">
        <v>11</v>
      </c>
      <c r="F146" s="140"/>
      <c r="G146" s="139" t="s">
        <v>12</v>
      </c>
      <c r="H146" s="140"/>
      <c r="I146" s="148"/>
      <c r="J146" s="151"/>
      <c r="K146" s="6">
        <v>231</v>
      </c>
    </row>
    <row r="147" spans="1:11">
      <c r="A147" s="32" t="str">
        <f t="shared" si="11"/>
        <v>DM11232</v>
      </c>
      <c r="B147" s="93">
        <f t="shared" si="10"/>
        <v>41233</v>
      </c>
      <c r="C147" s="145"/>
      <c r="D147" s="145"/>
      <c r="E147" s="139" t="s">
        <v>13</v>
      </c>
      <c r="F147" s="140"/>
      <c r="G147" s="139" t="s">
        <v>14</v>
      </c>
      <c r="H147" s="140"/>
      <c r="I147" s="148"/>
      <c r="J147" s="151"/>
      <c r="K147" s="6">
        <v>232</v>
      </c>
    </row>
    <row r="148" spans="1:11">
      <c r="A148" s="32" t="str">
        <f t="shared" si="11"/>
        <v>DM11233</v>
      </c>
      <c r="B148" s="93">
        <f t="shared" si="10"/>
        <v>41234</v>
      </c>
      <c r="C148" s="145"/>
      <c r="D148" s="145"/>
      <c r="E148" s="139" t="s">
        <v>16</v>
      </c>
      <c r="F148" s="140"/>
      <c r="G148" s="139" t="s">
        <v>17</v>
      </c>
      <c r="H148" s="140"/>
      <c r="I148" s="148"/>
      <c r="J148" s="151"/>
      <c r="K148" s="6">
        <v>233</v>
      </c>
    </row>
    <row r="149" spans="1:11">
      <c r="A149" s="32" t="str">
        <f t="shared" si="11"/>
        <v>DM11234</v>
      </c>
      <c r="B149" s="93">
        <f t="shared" si="10"/>
        <v>41235</v>
      </c>
      <c r="C149" s="145"/>
      <c r="D149" s="145"/>
      <c r="E149" s="139" t="s">
        <v>18</v>
      </c>
      <c r="F149" s="140"/>
      <c r="G149" s="139" t="s">
        <v>19</v>
      </c>
      <c r="H149" s="140"/>
      <c r="I149" s="148"/>
      <c r="J149" s="151"/>
      <c r="K149" s="6">
        <v>234</v>
      </c>
    </row>
    <row r="150" spans="1:11">
      <c r="A150" s="32" t="str">
        <f t="shared" si="11"/>
        <v>DM11235</v>
      </c>
      <c r="B150" s="93">
        <f t="shared" si="10"/>
        <v>41236</v>
      </c>
      <c r="C150" s="145"/>
      <c r="D150" s="145"/>
      <c r="E150" s="139" t="s">
        <v>20</v>
      </c>
      <c r="F150" s="140"/>
      <c r="G150" s="139" t="s">
        <v>21</v>
      </c>
      <c r="H150" s="140"/>
      <c r="I150" s="148"/>
      <c r="J150" s="151"/>
      <c r="K150" s="6">
        <v>235</v>
      </c>
    </row>
    <row r="151" spans="1:11">
      <c r="A151" s="32" t="str">
        <f t="shared" si="11"/>
        <v>DM11236</v>
      </c>
      <c r="B151" s="93">
        <f t="shared" si="10"/>
        <v>41237</v>
      </c>
      <c r="C151" s="146"/>
      <c r="D151" s="146"/>
      <c r="E151" s="139" t="s">
        <v>22</v>
      </c>
      <c r="F151" s="140"/>
      <c r="G151" s="139" t="s">
        <v>23</v>
      </c>
      <c r="H151" s="140"/>
      <c r="I151" s="149"/>
      <c r="J151" s="152"/>
      <c r="K151" s="6">
        <v>236</v>
      </c>
    </row>
    <row r="152" spans="1:11">
      <c r="A152" s="32" t="str">
        <f t="shared" si="11"/>
        <v>DM11237</v>
      </c>
      <c r="B152" s="93">
        <f t="shared" si="10"/>
        <v>41238</v>
      </c>
      <c r="C152" s="144" t="s">
        <v>133</v>
      </c>
      <c r="D152" s="144" t="s">
        <v>116</v>
      </c>
      <c r="E152" s="139" t="s">
        <v>25</v>
      </c>
      <c r="F152" s="140"/>
      <c r="G152" s="139" t="s">
        <v>65</v>
      </c>
      <c r="H152" s="140"/>
      <c r="I152" s="147" t="s">
        <v>134</v>
      </c>
      <c r="J152" s="150" t="s">
        <v>64</v>
      </c>
      <c r="K152" s="6">
        <v>237</v>
      </c>
    </row>
    <row r="153" spans="1:11">
      <c r="A153" s="32" t="str">
        <f t="shared" si="11"/>
        <v>DM11238</v>
      </c>
      <c r="B153" s="93">
        <f t="shared" si="10"/>
        <v>41239</v>
      </c>
      <c r="C153" s="145"/>
      <c r="D153" s="145"/>
      <c r="E153" s="139" t="s">
        <v>26</v>
      </c>
      <c r="F153" s="140"/>
      <c r="G153" s="139" t="s">
        <v>27</v>
      </c>
      <c r="H153" s="140"/>
      <c r="I153" s="148"/>
      <c r="J153" s="151"/>
      <c r="K153" s="6">
        <v>238</v>
      </c>
    </row>
    <row r="154" spans="1:11">
      <c r="A154" s="32" t="str">
        <f t="shared" si="11"/>
        <v>DM11239</v>
      </c>
      <c r="B154" s="93">
        <f t="shared" si="10"/>
        <v>41240</v>
      </c>
      <c r="C154" s="145"/>
      <c r="D154" s="145"/>
      <c r="E154" s="139" t="s">
        <v>28</v>
      </c>
      <c r="F154" s="140"/>
      <c r="G154" s="139" t="s">
        <v>29</v>
      </c>
      <c r="H154" s="140"/>
      <c r="I154" s="148"/>
      <c r="J154" s="151"/>
      <c r="K154" s="6">
        <v>239</v>
      </c>
    </row>
    <row r="155" spans="1:11">
      <c r="A155" s="32" t="str">
        <f t="shared" si="11"/>
        <v>DM11240</v>
      </c>
      <c r="B155" s="93">
        <f t="shared" si="10"/>
        <v>41241</v>
      </c>
      <c r="C155" s="145"/>
      <c r="D155" s="145"/>
      <c r="E155" s="139" t="s">
        <v>30</v>
      </c>
      <c r="F155" s="140"/>
      <c r="G155" s="139" t="s">
        <v>31</v>
      </c>
      <c r="H155" s="140"/>
      <c r="I155" s="148"/>
      <c r="J155" s="151"/>
      <c r="K155" s="6">
        <v>240</v>
      </c>
    </row>
    <row r="156" spans="1:11">
      <c r="A156" s="32" t="str">
        <f t="shared" si="11"/>
        <v>DM11241</v>
      </c>
      <c r="B156" s="93">
        <f t="shared" si="10"/>
        <v>41242</v>
      </c>
      <c r="C156" s="145"/>
      <c r="D156" s="145"/>
      <c r="E156" s="139" t="s">
        <v>11</v>
      </c>
      <c r="F156" s="140"/>
      <c r="G156" s="139" t="s">
        <v>12</v>
      </c>
      <c r="H156" s="140"/>
      <c r="I156" s="148"/>
      <c r="J156" s="151"/>
      <c r="K156" s="6">
        <v>241</v>
      </c>
    </row>
    <row r="157" spans="1:11">
      <c r="A157" s="32" t="str">
        <f t="shared" si="11"/>
        <v>DM11242</v>
      </c>
      <c r="B157" s="93">
        <f t="shared" si="10"/>
        <v>41243</v>
      </c>
      <c r="C157" s="145"/>
      <c r="D157" s="145"/>
      <c r="E157" s="139" t="s">
        <v>13</v>
      </c>
      <c r="F157" s="140"/>
      <c r="G157" s="139" t="s">
        <v>14</v>
      </c>
      <c r="H157" s="140"/>
      <c r="I157" s="148"/>
      <c r="J157" s="151"/>
      <c r="K157" s="6">
        <v>242</v>
      </c>
    </row>
    <row r="158" spans="1:11">
      <c r="A158" s="32" t="str">
        <f t="shared" si="11"/>
        <v>DM11243</v>
      </c>
      <c r="B158" s="93">
        <f t="shared" ref="B158:B221" si="12">$D$4+K158</f>
        <v>41244</v>
      </c>
      <c r="C158" s="145"/>
      <c r="D158" s="145"/>
      <c r="E158" s="139" t="s">
        <v>16</v>
      </c>
      <c r="F158" s="140"/>
      <c r="G158" s="139" t="s">
        <v>17</v>
      </c>
      <c r="H158" s="140"/>
      <c r="I158" s="148"/>
      <c r="J158" s="151"/>
      <c r="K158" s="6">
        <v>243</v>
      </c>
    </row>
    <row r="159" spans="1:11">
      <c r="A159" s="32" t="str">
        <f t="shared" si="11"/>
        <v>DM11244</v>
      </c>
      <c r="B159" s="93">
        <f t="shared" si="12"/>
        <v>41245</v>
      </c>
      <c r="C159" s="145"/>
      <c r="D159" s="145"/>
      <c r="E159" s="139" t="s">
        <v>18</v>
      </c>
      <c r="F159" s="140"/>
      <c r="G159" s="139" t="s">
        <v>19</v>
      </c>
      <c r="H159" s="140"/>
      <c r="I159" s="148"/>
      <c r="J159" s="151"/>
      <c r="K159" s="6">
        <v>244</v>
      </c>
    </row>
    <row r="160" spans="1:11">
      <c r="A160" s="32" t="str">
        <f t="shared" si="11"/>
        <v>DM11245</v>
      </c>
      <c r="B160" s="93">
        <f t="shared" si="12"/>
        <v>41246</v>
      </c>
      <c r="C160" s="145"/>
      <c r="D160" s="145"/>
      <c r="E160" s="139" t="s">
        <v>20</v>
      </c>
      <c r="F160" s="140"/>
      <c r="G160" s="139" t="s">
        <v>21</v>
      </c>
      <c r="H160" s="140"/>
      <c r="I160" s="148"/>
      <c r="J160" s="151"/>
      <c r="K160" s="6">
        <v>245</v>
      </c>
    </row>
    <row r="161" spans="1:11">
      <c r="A161" s="32" t="str">
        <f t="shared" si="11"/>
        <v>DM11246</v>
      </c>
      <c r="B161" s="93">
        <f t="shared" si="12"/>
        <v>41247</v>
      </c>
      <c r="C161" s="146"/>
      <c r="D161" s="146"/>
      <c r="E161" s="139" t="s">
        <v>22</v>
      </c>
      <c r="F161" s="140"/>
      <c r="G161" s="139" t="s">
        <v>23</v>
      </c>
      <c r="H161" s="140"/>
      <c r="I161" s="149"/>
      <c r="J161" s="152"/>
      <c r="K161" s="6">
        <v>246</v>
      </c>
    </row>
    <row r="162" spans="1:11">
      <c r="A162" s="32" t="str">
        <f t="shared" si="11"/>
        <v>DM11247</v>
      </c>
      <c r="B162" s="93">
        <f t="shared" si="12"/>
        <v>41248</v>
      </c>
      <c r="C162" s="144" t="s">
        <v>135</v>
      </c>
      <c r="D162" s="144" t="s">
        <v>116</v>
      </c>
      <c r="E162" s="139" t="s">
        <v>25</v>
      </c>
      <c r="F162" s="140"/>
      <c r="G162" s="139" t="s">
        <v>65</v>
      </c>
      <c r="H162" s="140"/>
      <c r="I162" s="147" t="s">
        <v>136</v>
      </c>
      <c r="J162" s="150" t="s">
        <v>64</v>
      </c>
      <c r="K162" s="6">
        <v>247</v>
      </c>
    </row>
    <row r="163" spans="1:11">
      <c r="A163" s="32" t="str">
        <f t="shared" si="11"/>
        <v>DM11248</v>
      </c>
      <c r="B163" s="93">
        <f t="shared" si="12"/>
        <v>41249</v>
      </c>
      <c r="C163" s="145"/>
      <c r="D163" s="145"/>
      <c r="E163" s="139" t="s">
        <v>26</v>
      </c>
      <c r="F163" s="140"/>
      <c r="G163" s="139" t="s">
        <v>27</v>
      </c>
      <c r="H163" s="140"/>
      <c r="I163" s="148"/>
      <c r="J163" s="151"/>
      <c r="K163" s="6">
        <v>248</v>
      </c>
    </row>
    <row r="164" spans="1:11">
      <c r="A164" s="32" t="str">
        <f t="shared" si="11"/>
        <v>DM11249</v>
      </c>
      <c r="B164" s="93">
        <f t="shared" si="12"/>
        <v>41250</v>
      </c>
      <c r="C164" s="145"/>
      <c r="D164" s="145"/>
      <c r="E164" s="139" t="s">
        <v>28</v>
      </c>
      <c r="F164" s="140"/>
      <c r="G164" s="139" t="s">
        <v>29</v>
      </c>
      <c r="H164" s="140"/>
      <c r="I164" s="148"/>
      <c r="J164" s="151"/>
      <c r="K164" s="6">
        <v>249</v>
      </c>
    </row>
    <row r="165" spans="1:11">
      <c r="A165" s="32" t="str">
        <f t="shared" si="11"/>
        <v>DM11250</v>
      </c>
      <c r="B165" s="93">
        <f t="shared" si="12"/>
        <v>41251</v>
      </c>
      <c r="C165" s="145"/>
      <c r="D165" s="145"/>
      <c r="E165" s="139" t="s">
        <v>30</v>
      </c>
      <c r="F165" s="140"/>
      <c r="G165" s="139" t="s">
        <v>31</v>
      </c>
      <c r="H165" s="140"/>
      <c r="I165" s="148"/>
      <c r="J165" s="151"/>
      <c r="K165" s="6">
        <v>250</v>
      </c>
    </row>
    <row r="166" spans="1:11">
      <c r="A166" s="32" t="str">
        <f t="shared" si="11"/>
        <v>DM11251</v>
      </c>
      <c r="B166" s="93">
        <f t="shared" si="12"/>
        <v>41252</v>
      </c>
      <c r="C166" s="145"/>
      <c r="D166" s="145"/>
      <c r="E166" s="139" t="s">
        <v>11</v>
      </c>
      <c r="F166" s="140"/>
      <c r="G166" s="139" t="s">
        <v>12</v>
      </c>
      <c r="H166" s="140"/>
      <c r="I166" s="148"/>
      <c r="J166" s="151"/>
      <c r="K166" s="6">
        <v>251</v>
      </c>
    </row>
    <row r="167" spans="1:11">
      <c r="A167" s="32" t="str">
        <f t="shared" si="11"/>
        <v>DM11252</v>
      </c>
      <c r="B167" s="93">
        <f t="shared" si="12"/>
        <v>41253</v>
      </c>
      <c r="C167" s="145"/>
      <c r="D167" s="145"/>
      <c r="E167" s="139" t="s">
        <v>13</v>
      </c>
      <c r="F167" s="140"/>
      <c r="G167" s="139" t="s">
        <v>14</v>
      </c>
      <c r="H167" s="140"/>
      <c r="I167" s="148"/>
      <c r="J167" s="151"/>
      <c r="K167" s="6">
        <v>252</v>
      </c>
    </row>
    <row r="168" spans="1:11">
      <c r="A168" s="32" t="str">
        <f t="shared" si="11"/>
        <v>DM11253</v>
      </c>
      <c r="B168" s="93">
        <f t="shared" si="12"/>
        <v>41254</v>
      </c>
      <c r="C168" s="145"/>
      <c r="D168" s="145"/>
      <c r="E168" s="139" t="s">
        <v>16</v>
      </c>
      <c r="F168" s="140"/>
      <c r="G168" s="139" t="s">
        <v>17</v>
      </c>
      <c r="H168" s="140"/>
      <c r="I168" s="148"/>
      <c r="J168" s="151"/>
      <c r="K168" s="6">
        <v>253</v>
      </c>
    </row>
    <row r="169" spans="1:11">
      <c r="A169" s="32" t="str">
        <f t="shared" si="11"/>
        <v>DM11254</v>
      </c>
      <c r="B169" s="93">
        <f t="shared" si="12"/>
        <v>41255</v>
      </c>
      <c r="C169" s="145"/>
      <c r="D169" s="145"/>
      <c r="E169" s="139" t="s">
        <v>18</v>
      </c>
      <c r="F169" s="140"/>
      <c r="G169" s="139" t="s">
        <v>19</v>
      </c>
      <c r="H169" s="140"/>
      <c r="I169" s="148"/>
      <c r="J169" s="151"/>
      <c r="K169" s="6">
        <v>254</v>
      </c>
    </row>
    <row r="170" spans="1:11">
      <c r="A170" s="32" t="str">
        <f t="shared" si="11"/>
        <v>DM11255</v>
      </c>
      <c r="B170" s="93">
        <f t="shared" si="12"/>
        <v>41256</v>
      </c>
      <c r="C170" s="145"/>
      <c r="D170" s="145"/>
      <c r="E170" s="139" t="s">
        <v>20</v>
      </c>
      <c r="F170" s="140"/>
      <c r="G170" s="139" t="s">
        <v>21</v>
      </c>
      <c r="H170" s="140"/>
      <c r="I170" s="148"/>
      <c r="J170" s="151"/>
      <c r="K170" s="6">
        <v>255</v>
      </c>
    </row>
    <row r="171" spans="1:11">
      <c r="A171" s="32" t="str">
        <f t="shared" si="11"/>
        <v>DM11256</v>
      </c>
      <c r="B171" s="93">
        <f t="shared" si="12"/>
        <v>41257</v>
      </c>
      <c r="C171" s="146"/>
      <c r="D171" s="146"/>
      <c r="E171" s="139" t="s">
        <v>22</v>
      </c>
      <c r="F171" s="140"/>
      <c r="G171" s="139" t="s">
        <v>23</v>
      </c>
      <c r="H171" s="140"/>
      <c r="I171" s="149"/>
      <c r="J171" s="152"/>
      <c r="K171" s="6">
        <v>256</v>
      </c>
    </row>
    <row r="172" spans="1:11">
      <c r="A172" s="32" t="str">
        <f t="shared" si="11"/>
        <v>DM11257</v>
      </c>
      <c r="B172" s="93">
        <f t="shared" si="12"/>
        <v>41258</v>
      </c>
      <c r="C172" s="144" t="s">
        <v>137</v>
      </c>
      <c r="D172" s="144" t="s">
        <v>116</v>
      </c>
      <c r="E172" s="139" t="s">
        <v>25</v>
      </c>
      <c r="F172" s="140"/>
      <c r="G172" s="139" t="s">
        <v>65</v>
      </c>
      <c r="H172" s="140"/>
      <c r="I172" s="147" t="s">
        <v>138</v>
      </c>
      <c r="J172" s="150" t="s">
        <v>64</v>
      </c>
      <c r="K172" s="6">
        <v>257</v>
      </c>
    </row>
    <row r="173" spans="1:11">
      <c r="A173" s="32" t="str">
        <f t="shared" si="11"/>
        <v>DM11258</v>
      </c>
      <c r="B173" s="93">
        <f t="shared" si="12"/>
        <v>41259</v>
      </c>
      <c r="C173" s="145"/>
      <c r="D173" s="145"/>
      <c r="E173" s="139" t="s">
        <v>26</v>
      </c>
      <c r="F173" s="140"/>
      <c r="G173" s="139" t="s">
        <v>27</v>
      </c>
      <c r="H173" s="140"/>
      <c r="I173" s="148"/>
      <c r="J173" s="151"/>
      <c r="K173" s="6">
        <v>258</v>
      </c>
    </row>
    <row r="174" spans="1:11">
      <c r="A174" s="32" t="str">
        <f t="shared" si="11"/>
        <v>DM11259</v>
      </c>
      <c r="B174" s="93">
        <f t="shared" si="12"/>
        <v>41260</v>
      </c>
      <c r="C174" s="145"/>
      <c r="D174" s="145"/>
      <c r="E174" s="139" t="s">
        <v>28</v>
      </c>
      <c r="F174" s="140"/>
      <c r="G174" s="139" t="s">
        <v>29</v>
      </c>
      <c r="H174" s="140"/>
      <c r="I174" s="148"/>
      <c r="J174" s="151"/>
      <c r="K174" s="6">
        <v>259</v>
      </c>
    </row>
    <row r="175" spans="1:11">
      <c r="A175" s="32" t="str">
        <f t="shared" si="11"/>
        <v>DM11260</v>
      </c>
      <c r="B175" s="93">
        <f t="shared" si="12"/>
        <v>41261</v>
      </c>
      <c r="C175" s="145"/>
      <c r="D175" s="145"/>
      <c r="E175" s="139" t="s">
        <v>30</v>
      </c>
      <c r="F175" s="140"/>
      <c r="G175" s="139" t="s">
        <v>31</v>
      </c>
      <c r="H175" s="140"/>
      <c r="I175" s="148"/>
      <c r="J175" s="151"/>
      <c r="K175" s="6">
        <v>260</v>
      </c>
    </row>
    <row r="176" spans="1:11">
      <c r="A176" s="32" t="str">
        <f t="shared" si="11"/>
        <v>DM11261</v>
      </c>
      <c r="B176" s="93">
        <f t="shared" si="12"/>
        <v>41262</v>
      </c>
      <c r="C176" s="145"/>
      <c r="D176" s="145"/>
      <c r="E176" s="139" t="s">
        <v>11</v>
      </c>
      <c r="F176" s="140"/>
      <c r="G176" s="139" t="s">
        <v>12</v>
      </c>
      <c r="H176" s="140"/>
      <c r="I176" s="148"/>
      <c r="J176" s="151"/>
      <c r="K176" s="6">
        <v>261</v>
      </c>
    </row>
    <row r="177" spans="1:11">
      <c r="A177" s="32" t="str">
        <f t="shared" si="11"/>
        <v>DM11262</v>
      </c>
      <c r="B177" s="93">
        <f t="shared" si="12"/>
        <v>41263</v>
      </c>
      <c r="C177" s="145"/>
      <c r="D177" s="145"/>
      <c r="E177" s="139" t="s">
        <v>13</v>
      </c>
      <c r="F177" s="140"/>
      <c r="G177" s="139" t="s">
        <v>14</v>
      </c>
      <c r="H177" s="140"/>
      <c r="I177" s="148"/>
      <c r="J177" s="151"/>
      <c r="K177" s="6">
        <v>262</v>
      </c>
    </row>
    <row r="178" spans="1:11">
      <c r="A178" s="32" t="str">
        <f t="shared" si="11"/>
        <v>DM11263</v>
      </c>
      <c r="B178" s="93">
        <f t="shared" si="12"/>
        <v>41264</v>
      </c>
      <c r="C178" s="145"/>
      <c r="D178" s="145"/>
      <c r="E178" s="139" t="s">
        <v>16</v>
      </c>
      <c r="F178" s="140"/>
      <c r="G178" s="139" t="s">
        <v>17</v>
      </c>
      <c r="H178" s="140"/>
      <c r="I178" s="148"/>
      <c r="J178" s="151"/>
      <c r="K178" s="6">
        <v>263</v>
      </c>
    </row>
    <row r="179" spans="1:11">
      <c r="A179" s="32" t="str">
        <f t="shared" si="11"/>
        <v>DM11264</v>
      </c>
      <c r="B179" s="93">
        <f t="shared" si="12"/>
        <v>41265</v>
      </c>
      <c r="C179" s="145"/>
      <c r="D179" s="145"/>
      <c r="E179" s="139" t="s">
        <v>18</v>
      </c>
      <c r="F179" s="140"/>
      <c r="G179" s="139" t="s">
        <v>19</v>
      </c>
      <c r="H179" s="140"/>
      <c r="I179" s="148"/>
      <c r="J179" s="151"/>
      <c r="K179" s="6">
        <v>264</v>
      </c>
    </row>
    <row r="180" spans="1:11">
      <c r="A180" s="32" t="str">
        <f t="shared" si="11"/>
        <v>DM11265</v>
      </c>
      <c r="B180" s="93">
        <f t="shared" si="12"/>
        <v>41266</v>
      </c>
      <c r="C180" s="145"/>
      <c r="D180" s="145"/>
      <c r="E180" s="139" t="s">
        <v>20</v>
      </c>
      <c r="F180" s="140"/>
      <c r="G180" s="139" t="s">
        <v>21</v>
      </c>
      <c r="H180" s="140"/>
      <c r="I180" s="148"/>
      <c r="J180" s="151"/>
      <c r="K180" s="6">
        <v>265</v>
      </c>
    </row>
    <row r="181" spans="1:11">
      <c r="A181" s="32" t="str">
        <f t="shared" si="11"/>
        <v>DM11266</v>
      </c>
      <c r="B181" s="93">
        <f t="shared" si="12"/>
        <v>41267</v>
      </c>
      <c r="C181" s="146"/>
      <c r="D181" s="146"/>
      <c r="E181" s="139" t="s">
        <v>22</v>
      </c>
      <c r="F181" s="140"/>
      <c r="G181" s="139" t="s">
        <v>23</v>
      </c>
      <c r="H181" s="140"/>
      <c r="I181" s="149"/>
      <c r="J181" s="152"/>
      <c r="K181" s="6">
        <v>266</v>
      </c>
    </row>
    <row r="182" spans="1:11">
      <c r="A182" s="32" t="str">
        <f t="shared" si="11"/>
        <v>DM11267</v>
      </c>
      <c r="B182" s="93">
        <f t="shared" si="12"/>
        <v>41268</v>
      </c>
      <c r="C182" s="144" t="s">
        <v>139</v>
      </c>
      <c r="D182" s="144" t="s">
        <v>116</v>
      </c>
      <c r="E182" s="139" t="s">
        <v>25</v>
      </c>
      <c r="F182" s="140"/>
      <c r="G182" s="139" t="s">
        <v>65</v>
      </c>
      <c r="H182" s="140"/>
      <c r="I182" s="147" t="s">
        <v>140</v>
      </c>
      <c r="J182" s="150" t="s">
        <v>64</v>
      </c>
      <c r="K182" s="6">
        <v>267</v>
      </c>
    </row>
    <row r="183" spans="1:11">
      <c r="A183" s="32" t="str">
        <f t="shared" si="11"/>
        <v>DM11268</v>
      </c>
      <c r="B183" s="93">
        <f t="shared" si="12"/>
        <v>41269</v>
      </c>
      <c r="C183" s="145"/>
      <c r="D183" s="145"/>
      <c r="E183" s="139" t="s">
        <v>26</v>
      </c>
      <c r="F183" s="140"/>
      <c r="G183" s="139" t="s">
        <v>27</v>
      </c>
      <c r="H183" s="140"/>
      <c r="I183" s="148"/>
      <c r="J183" s="151"/>
      <c r="K183" s="6">
        <v>268</v>
      </c>
    </row>
    <row r="184" spans="1:11">
      <c r="A184" s="32" t="str">
        <f t="shared" si="11"/>
        <v>DM11269</v>
      </c>
      <c r="B184" s="93">
        <f t="shared" si="12"/>
        <v>41270</v>
      </c>
      <c r="C184" s="145"/>
      <c r="D184" s="145"/>
      <c r="E184" s="139" t="s">
        <v>28</v>
      </c>
      <c r="F184" s="140"/>
      <c r="G184" s="139" t="s">
        <v>29</v>
      </c>
      <c r="H184" s="140"/>
      <c r="I184" s="148"/>
      <c r="J184" s="151"/>
      <c r="K184" s="6">
        <v>269</v>
      </c>
    </row>
    <row r="185" spans="1:11">
      <c r="A185" s="32" t="str">
        <f t="shared" si="11"/>
        <v>DM11270</v>
      </c>
      <c r="B185" s="93">
        <f t="shared" si="12"/>
        <v>41271</v>
      </c>
      <c r="C185" s="145"/>
      <c r="D185" s="145"/>
      <c r="E185" s="139" t="s">
        <v>30</v>
      </c>
      <c r="F185" s="140"/>
      <c r="G185" s="139" t="s">
        <v>31</v>
      </c>
      <c r="H185" s="140"/>
      <c r="I185" s="148"/>
      <c r="J185" s="151"/>
      <c r="K185" s="6">
        <v>270</v>
      </c>
    </row>
    <row r="186" spans="1:11">
      <c r="A186" s="32" t="str">
        <f t="shared" si="11"/>
        <v>DM11271</v>
      </c>
      <c r="B186" s="93">
        <f t="shared" si="12"/>
        <v>41272</v>
      </c>
      <c r="C186" s="145"/>
      <c r="D186" s="145"/>
      <c r="E186" s="139" t="s">
        <v>11</v>
      </c>
      <c r="F186" s="140"/>
      <c r="G186" s="139" t="s">
        <v>12</v>
      </c>
      <c r="H186" s="140"/>
      <c r="I186" s="148"/>
      <c r="J186" s="151"/>
      <c r="K186" s="6">
        <v>271</v>
      </c>
    </row>
    <row r="187" spans="1:11">
      <c r="A187" s="32" t="str">
        <f t="shared" si="11"/>
        <v>DM11272</v>
      </c>
      <c r="B187" s="93">
        <f t="shared" si="12"/>
        <v>41273</v>
      </c>
      <c r="C187" s="145"/>
      <c r="D187" s="145"/>
      <c r="E187" s="139" t="s">
        <v>13</v>
      </c>
      <c r="F187" s="140"/>
      <c r="G187" s="139" t="s">
        <v>14</v>
      </c>
      <c r="H187" s="140"/>
      <c r="I187" s="148"/>
      <c r="J187" s="151"/>
      <c r="K187" s="6">
        <v>272</v>
      </c>
    </row>
    <row r="188" spans="1:11">
      <c r="A188" s="32" t="str">
        <f t="shared" si="11"/>
        <v>DM11273</v>
      </c>
      <c r="B188" s="93">
        <f t="shared" si="12"/>
        <v>41274</v>
      </c>
      <c r="C188" s="145"/>
      <c r="D188" s="145"/>
      <c r="E188" s="139" t="s">
        <v>16</v>
      </c>
      <c r="F188" s="140"/>
      <c r="G188" s="139" t="s">
        <v>17</v>
      </c>
      <c r="H188" s="140"/>
      <c r="I188" s="148"/>
      <c r="J188" s="151"/>
      <c r="K188" s="6">
        <v>273</v>
      </c>
    </row>
    <row r="189" spans="1:11">
      <c r="A189" s="32" t="str">
        <f t="shared" si="11"/>
        <v>DM11274</v>
      </c>
      <c r="B189" s="93">
        <f t="shared" si="12"/>
        <v>41275</v>
      </c>
      <c r="C189" s="145"/>
      <c r="D189" s="145"/>
      <c r="E189" s="139" t="s">
        <v>18</v>
      </c>
      <c r="F189" s="140"/>
      <c r="G189" s="139" t="s">
        <v>19</v>
      </c>
      <c r="H189" s="140"/>
      <c r="I189" s="148"/>
      <c r="J189" s="151"/>
      <c r="K189" s="6">
        <v>274</v>
      </c>
    </row>
    <row r="190" spans="1:11">
      <c r="A190" s="32" t="str">
        <f t="shared" si="11"/>
        <v>DM11275</v>
      </c>
      <c r="B190" s="93">
        <f t="shared" si="12"/>
        <v>41276</v>
      </c>
      <c r="C190" s="145"/>
      <c r="D190" s="145"/>
      <c r="E190" s="139" t="s">
        <v>20</v>
      </c>
      <c r="F190" s="140"/>
      <c r="G190" s="139" t="s">
        <v>21</v>
      </c>
      <c r="H190" s="140"/>
      <c r="I190" s="148"/>
      <c r="J190" s="151"/>
      <c r="K190" s="6">
        <v>275</v>
      </c>
    </row>
    <row r="191" spans="1:11">
      <c r="A191" s="32" t="str">
        <f t="shared" si="11"/>
        <v>DM11276</v>
      </c>
      <c r="B191" s="93">
        <f t="shared" si="12"/>
        <v>41277</v>
      </c>
      <c r="C191" s="146"/>
      <c r="D191" s="146"/>
      <c r="E191" s="139" t="s">
        <v>22</v>
      </c>
      <c r="F191" s="140"/>
      <c r="G191" s="139" t="s">
        <v>23</v>
      </c>
      <c r="H191" s="140"/>
      <c r="I191" s="149"/>
      <c r="J191" s="152"/>
      <c r="K191" s="6">
        <v>276</v>
      </c>
    </row>
    <row r="192" spans="1:11">
      <c r="A192" s="32" t="str">
        <f t="shared" si="11"/>
        <v>DM11277</v>
      </c>
      <c r="B192" s="93">
        <f t="shared" si="12"/>
        <v>41278</v>
      </c>
      <c r="C192" s="144" t="s">
        <v>141</v>
      </c>
      <c r="D192" s="144" t="s">
        <v>116</v>
      </c>
      <c r="E192" s="139" t="s">
        <v>25</v>
      </c>
      <c r="F192" s="140"/>
      <c r="G192" s="139" t="s">
        <v>65</v>
      </c>
      <c r="H192" s="140"/>
      <c r="I192" s="147" t="s">
        <v>142</v>
      </c>
      <c r="J192" s="150" t="s">
        <v>64</v>
      </c>
      <c r="K192" s="6">
        <v>277</v>
      </c>
    </row>
    <row r="193" spans="1:11">
      <c r="A193" s="32" t="str">
        <f t="shared" si="11"/>
        <v>DM11278</v>
      </c>
      <c r="B193" s="93">
        <f t="shared" si="12"/>
        <v>41279</v>
      </c>
      <c r="C193" s="145"/>
      <c r="D193" s="145"/>
      <c r="E193" s="139" t="s">
        <v>26</v>
      </c>
      <c r="F193" s="140"/>
      <c r="G193" s="139" t="s">
        <v>27</v>
      </c>
      <c r="H193" s="140"/>
      <c r="I193" s="148"/>
      <c r="J193" s="151"/>
      <c r="K193" s="6">
        <v>278</v>
      </c>
    </row>
    <row r="194" spans="1:11">
      <c r="A194" s="32" t="str">
        <f t="shared" si="11"/>
        <v>DM11279</v>
      </c>
      <c r="B194" s="93">
        <f t="shared" si="12"/>
        <v>41280</v>
      </c>
      <c r="C194" s="145"/>
      <c r="D194" s="145"/>
      <c r="E194" s="139" t="s">
        <v>28</v>
      </c>
      <c r="F194" s="140"/>
      <c r="G194" s="139" t="s">
        <v>29</v>
      </c>
      <c r="H194" s="140"/>
      <c r="I194" s="148"/>
      <c r="J194" s="151"/>
      <c r="K194" s="6">
        <v>279</v>
      </c>
    </row>
    <row r="195" spans="1:11">
      <c r="A195" s="32" t="str">
        <f t="shared" si="11"/>
        <v>DM11280</v>
      </c>
      <c r="B195" s="93">
        <f t="shared" si="12"/>
        <v>41281</v>
      </c>
      <c r="C195" s="145"/>
      <c r="D195" s="145"/>
      <c r="E195" s="139" t="s">
        <v>30</v>
      </c>
      <c r="F195" s="140"/>
      <c r="G195" s="139" t="s">
        <v>31</v>
      </c>
      <c r="H195" s="140"/>
      <c r="I195" s="148"/>
      <c r="J195" s="151"/>
      <c r="K195" s="6">
        <v>280</v>
      </c>
    </row>
    <row r="196" spans="1:11">
      <c r="A196" s="32" t="str">
        <f t="shared" si="11"/>
        <v>DM11281</v>
      </c>
      <c r="B196" s="93">
        <f t="shared" si="12"/>
        <v>41282</v>
      </c>
      <c r="C196" s="145"/>
      <c r="D196" s="145"/>
      <c r="E196" s="139" t="s">
        <v>11</v>
      </c>
      <c r="F196" s="140"/>
      <c r="G196" s="139" t="s">
        <v>12</v>
      </c>
      <c r="H196" s="140"/>
      <c r="I196" s="148"/>
      <c r="J196" s="151"/>
      <c r="K196" s="6">
        <v>281</v>
      </c>
    </row>
    <row r="197" spans="1:11">
      <c r="A197" s="32" t="str">
        <f t="shared" si="11"/>
        <v>DM11282</v>
      </c>
      <c r="B197" s="93">
        <f t="shared" si="12"/>
        <v>41283</v>
      </c>
      <c r="C197" s="145"/>
      <c r="D197" s="145"/>
      <c r="E197" s="139" t="s">
        <v>13</v>
      </c>
      <c r="F197" s="140"/>
      <c r="G197" s="139" t="s">
        <v>14</v>
      </c>
      <c r="H197" s="140"/>
      <c r="I197" s="148"/>
      <c r="J197" s="151"/>
      <c r="K197" s="6">
        <v>282</v>
      </c>
    </row>
    <row r="198" spans="1:11">
      <c r="A198" s="32" t="str">
        <f t="shared" ref="A198:A261" si="13">LEFT($D$3, 2) &amp; (MID($D$3, 3, LEN($D$3)) + K198)</f>
        <v>DM11283</v>
      </c>
      <c r="B198" s="93">
        <f t="shared" si="12"/>
        <v>41284</v>
      </c>
      <c r="C198" s="145"/>
      <c r="D198" s="145"/>
      <c r="E198" s="139" t="s">
        <v>16</v>
      </c>
      <c r="F198" s="140"/>
      <c r="G198" s="139" t="s">
        <v>17</v>
      </c>
      <c r="H198" s="140"/>
      <c r="I198" s="148"/>
      <c r="J198" s="151"/>
      <c r="K198" s="6">
        <v>283</v>
      </c>
    </row>
    <row r="199" spans="1:11">
      <c r="A199" s="32" t="str">
        <f t="shared" si="13"/>
        <v>DM11284</v>
      </c>
      <c r="B199" s="93">
        <f t="shared" si="12"/>
        <v>41285</v>
      </c>
      <c r="C199" s="145"/>
      <c r="D199" s="145"/>
      <c r="E199" s="139" t="s">
        <v>18</v>
      </c>
      <c r="F199" s="140"/>
      <c r="G199" s="139" t="s">
        <v>19</v>
      </c>
      <c r="H199" s="140"/>
      <c r="I199" s="148"/>
      <c r="J199" s="151"/>
      <c r="K199" s="6">
        <v>284</v>
      </c>
    </row>
    <row r="200" spans="1:11">
      <c r="A200" s="32" t="str">
        <f t="shared" si="13"/>
        <v>DM11285</v>
      </c>
      <c r="B200" s="93">
        <f t="shared" si="12"/>
        <v>41286</v>
      </c>
      <c r="C200" s="145"/>
      <c r="D200" s="145"/>
      <c r="E200" s="139" t="s">
        <v>20</v>
      </c>
      <c r="F200" s="140"/>
      <c r="G200" s="139" t="s">
        <v>21</v>
      </c>
      <c r="H200" s="140"/>
      <c r="I200" s="148"/>
      <c r="J200" s="151"/>
      <c r="K200" s="6">
        <v>285</v>
      </c>
    </row>
    <row r="201" spans="1:11">
      <c r="A201" s="32" t="str">
        <f t="shared" si="13"/>
        <v>DM11286</v>
      </c>
      <c r="B201" s="93">
        <f t="shared" si="12"/>
        <v>41287</v>
      </c>
      <c r="C201" s="146"/>
      <c r="D201" s="146"/>
      <c r="E201" s="139" t="s">
        <v>22</v>
      </c>
      <c r="F201" s="140"/>
      <c r="G201" s="139" t="s">
        <v>23</v>
      </c>
      <c r="H201" s="140"/>
      <c r="I201" s="149"/>
      <c r="J201" s="152"/>
      <c r="K201" s="6">
        <v>286</v>
      </c>
    </row>
    <row r="202" spans="1:11">
      <c r="A202" s="32" t="str">
        <f t="shared" si="13"/>
        <v>DM11287</v>
      </c>
      <c r="B202" s="93">
        <f t="shared" si="12"/>
        <v>41288</v>
      </c>
      <c r="C202" s="144" t="s">
        <v>143</v>
      </c>
      <c r="D202" s="144" t="s">
        <v>116</v>
      </c>
      <c r="E202" s="139" t="s">
        <v>25</v>
      </c>
      <c r="F202" s="140"/>
      <c r="G202" s="139" t="s">
        <v>65</v>
      </c>
      <c r="H202" s="140"/>
      <c r="I202" s="147" t="s">
        <v>144</v>
      </c>
      <c r="J202" s="150" t="s">
        <v>64</v>
      </c>
      <c r="K202" s="6">
        <v>287</v>
      </c>
    </row>
    <row r="203" spans="1:11">
      <c r="A203" s="32" t="str">
        <f t="shared" si="13"/>
        <v>DM11288</v>
      </c>
      <c r="B203" s="93">
        <f t="shared" si="12"/>
        <v>41289</v>
      </c>
      <c r="C203" s="145"/>
      <c r="D203" s="145"/>
      <c r="E203" s="139" t="s">
        <v>26</v>
      </c>
      <c r="F203" s="140"/>
      <c r="G203" s="139" t="s">
        <v>27</v>
      </c>
      <c r="H203" s="140"/>
      <c r="I203" s="148"/>
      <c r="J203" s="151"/>
      <c r="K203" s="6">
        <v>288</v>
      </c>
    </row>
    <row r="204" spans="1:11">
      <c r="A204" s="32" t="str">
        <f t="shared" si="13"/>
        <v>DM11289</v>
      </c>
      <c r="B204" s="93">
        <f t="shared" si="12"/>
        <v>41290</v>
      </c>
      <c r="C204" s="145"/>
      <c r="D204" s="145"/>
      <c r="E204" s="139" t="s">
        <v>28</v>
      </c>
      <c r="F204" s="140"/>
      <c r="G204" s="139" t="s">
        <v>29</v>
      </c>
      <c r="H204" s="140"/>
      <c r="I204" s="148"/>
      <c r="J204" s="151"/>
      <c r="K204" s="6">
        <v>289</v>
      </c>
    </row>
    <row r="205" spans="1:11">
      <c r="A205" s="32" t="str">
        <f t="shared" si="13"/>
        <v>DM11290</v>
      </c>
      <c r="B205" s="93">
        <f t="shared" si="12"/>
        <v>41291</v>
      </c>
      <c r="C205" s="145"/>
      <c r="D205" s="145"/>
      <c r="E205" s="139" t="s">
        <v>30</v>
      </c>
      <c r="F205" s="140"/>
      <c r="G205" s="139" t="s">
        <v>31</v>
      </c>
      <c r="H205" s="140"/>
      <c r="I205" s="148"/>
      <c r="J205" s="151"/>
      <c r="K205" s="6">
        <v>290</v>
      </c>
    </row>
    <row r="206" spans="1:11">
      <c r="A206" s="32" t="str">
        <f t="shared" si="13"/>
        <v>DM11291</v>
      </c>
      <c r="B206" s="93">
        <f t="shared" si="12"/>
        <v>41292</v>
      </c>
      <c r="C206" s="145"/>
      <c r="D206" s="145"/>
      <c r="E206" s="139" t="s">
        <v>11</v>
      </c>
      <c r="F206" s="140"/>
      <c r="G206" s="139" t="s">
        <v>12</v>
      </c>
      <c r="H206" s="140"/>
      <c r="I206" s="148"/>
      <c r="J206" s="151"/>
      <c r="K206" s="6">
        <v>291</v>
      </c>
    </row>
    <row r="207" spans="1:11">
      <c r="A207" s="32" t="str">
        <f t="shared" si="13"/>
        <v>DM11292</v>
      </c>
      <c r="B207" s="93">
        <f t="shared" si="12"/>
        <v>41293</v>
      </c>
      <c r="C207" s="145"/>
      <c r="D207" s="145"/>
      <c r="E207" s="139" t="s">
        <v>13</v>
      </c>
      <c r="F207" s="140"/>
      <c r="G207" s="139" t="s">
        <v>14</v>
      </c>
      <c r="H207" s="140"/>
      <c r="I207" s="148"/>
      <c r="J207" s="151"/>
      <c r="K207" s="6">
        <v>292</v>
      </c>
    </row>
    <row r="208" spans="1:11">
      <c r="A208" s="32" t="str">
        <f t="shared" si="13"/>
        <v>DM11293</v>
      </c>
      <c r="B208" s="93">
        <f t="shared" si="12"/>
        <v>41294</v>
      </c>
      <c r="C208" s="145"/>
      <c r="D208" s="145"/>
      <c r="E208" s="139" t="s">
        <v>16</v>
      </c>
      <c r="F208" s="140"/>
      <c r="G208" s="139" t="s">
        <v>17</v>
      </c>
      <c r="H208" s="140"/>
      <c r="I208" s="148"/>
      <c r="J208" s="151"/>
      <c r="K208" s="6">
        <v>293</v>
      </c>
    </row>
    <row r="209" spans="1:11">
      <c r="A209" s="32" t="str">
        <f t="shared" si="13"/>
        <v>DM11294</v>
      </c>
      <c r="B209" s="93">
        <f t="shared" si="12"/>
        <v>41295</v>
      </c>
      <c r="C209" s="145"/>
      <c r="D209" s="145"/>
      <c r="E209" s="139" t="s">
        <v>18</v>
      </c>
      <c r="F209" s="140"/>
      <c r="G209" s="139" t="s">
        <v>19</v>
      </c>
      <c r="H209" s="140"/>
      <c r="I209" s="148"/>
      <c r="J209" s="151"/>
      <c r="K209" s="6">
        <v>294</v>
      </c>
    </row>
    <row r="210" spans="1:11">
      <c r="A210" s="32" t="str">
        <f t="shared" si="13"/>
        <v>DM11295</v>
      </c>
      <c r="B210" s="93">
        <f t="shared" si="12"/>
        <v>41296</v>
      </c>
      <c r="C210" s="145"/>
      <c r="D210" s="145"/>
      <c r="E210" s="139" t="s">
        <v>20</v>
      </c>
      <c r="F210" s="140"/>
      <c r="G210" s="139" t="s">
        <v>21</v>
      </c>
      <c r="H210" s="140"/>
      <c r="I210" s="148"/>
      <c r="J210" s="151"/>
      <c r="K210" s="6">
        <v>295</v>
      </c>
    </row>
    <row r="211" spans="1:11">
      <c r="A211" s="32" t="str">
        <f t="shared" si="13"/>
        <v>DM11296</v>
      </c>
      <c r="B211" s="93">
        <f t="shared" si="12"/>
        <v>41297</v>
      </c>
      <c r="C211" s="146"/>
      <c r="D211" s="146"/>
      <c r="E211" s="139" t="s">
        <v>22</v>
      </c>
      <c r="F211" s="140"/>
      <c r="G211" s="139" t="s">
        <v>23</v>
      </c>
      <c r="H211" s="140"/>
      <c r="I211" s="149"/>
      <c r="J211" s="152"/>
      <c r="K211" s="6">
        <v>296</v>
      </c>
    </row>
    <row r="212" spans="1:11">
      <c r="A212" s="32" t="str">
        <f t="shared" si="13"/>
        <v>DM11297</v>
      </c>
      <c r="B212" s="93">
        <f t="shared" si="12"/>
        <v>41298</v>
      </c>
      <c r="C212" s="144" t="s">
        <v>145</v>
      </c>
      <c r="D212" s="144" t="s">
        <v>116</v>
      </c>
      <c r="E212" s="139" t="s">
        <v>25</v>
      </c>
      <c r="F212" s="140"/>
      <c r="G212" s="139" t="s">
        <v>65</v>
      </c>
      <c r="H212" s="140"/>
      <c r="I212" s="147" t="s">
        <v>146</v>
      </c>
      <c r="J212" s="150" t="s">
        <v>64</v>
      </c>
      <c r="K212" s="6">
        <v>297</v>
      </c>
    </row>
    <row r="213" spans="1:11">
      <c r="A213" s="32" t="str">
        <f t="shared" si="13"/>
        <v>DM11298</v>
      </c>
      <c r="B213" s="93">
        <f t="shared" si="12"/>
        <v>41299</v>
      </c>
      <c r="C213" s="145"/>
      <c r="D213" s="145"/>
      <c r="E213" s="139" t="s">
        <v>26</v>
      </c>
      <c r="F213" s="140"/>
      <c r="G213" s="139" t="s">
        <v>27</v>
      </c>
      <c r="H213" s="140"/>
      <c r="I213" s="148"/>
      <c r="J213" s="151"/>
      <c r="K213" s="6">
        <v>298</v>
      </c>
    </row>
    <row r="214" spans="1:11">
      <c r="A214" s="32" t="str">
        <f t="shared" si="13"/>
        <v>DM11299</v>
      </c>
      <c r="B214" s="93">
        <f t="shared" si="12"/>
        <v>41300</v>
      </c>
      <c r="C214" s="145"/>
      <c r="D214" s="145"/>
      <c r="E214" s="139" t="s">
        <v>28</v>
      </c>
      <c r="F214" s="140"/>
      <c r="G214" s="139" t="s">
        <v>29</v>
      </c>
      <c r="H214" s="140"/>
      <c r="I214" s="148"/>
      <c r="J214" s="151"/>
      <c r="K214" s="6">
        <v>299</v>
      </c>
    </row>
    <row r="215" spans="1:11">
      <c r="A215" s="32" t="str">
        <f t="shared" si="13"/>
        <v>DM11300</v>
      </c>
      <c r="B215" s="93">
        <f t="shared" si="12"/>
        <v>41301</v>
      </c>
      <c r="C215" s="145"/>
      <c r="D215" s="145"/>
      <c r="E215" s="139" t="s">
        <v>30</v>
      </c>
      <c r="F215" s="140"/>
      <c r="G215" s="139" t="s">
        <v>31</v>
      </c>
      <c r="H215" s="140"/>
      <c r="I215" s="148"/>
      <c r="J215" s="151"/>
      <c r="K215" s="6">
        <v>300</v>
      </c>
    </row>
    <row r="216" spans="1:11">
      <c r="A216" s="32" t="str">
        <f t="shared" si="13"/>
        <v>DM11301</v>
      </c>
      <c r="B216" s="93">
        <f t="shared" si="12"/>
        <v>41302</v>
      </c>
      <c r="C216" s="145"/>
      <c r="D216" s="145"/>
      <c r="E216" s="139" t="s">
        <v>11</v>
      </c>
      <c r="F216" s="140"/>
      <c r="G216" s="139" t="s">
        <v>12</v>
      </c>
      <c r="H216" s="140"/>
      <c r="I216" s="148"/>
      <c r="J216" s="151"/>
      <c r="K216" s="6">
        <v>301</v>
      </c>
    </row>
    <row r="217" spans="1:11">
      <c r="A217" s="32" t="str">
        <f t="shared" si="13"/>
        <v>DM11302</v>
      </c>
      <c r="B217" s="93">
        <f t="shared" si="12"/>
        <v>41303</v>
      </c>
      <c r="C217" s="145"/>
      <c r="D217" s="145"/>
      <c r="E217" s="139" t="s">
        <v>13</v>
      </c>
      <c r="F217" s="140"/>
      <c r="G217" s="139" t="s">
        <v>14</v>
      </c>
      <c r="H217" s="140"/>
      <c r="I217" s="148"/>
      <c r="J217" s="151"/>
      <c r="K217" s="6">
        <v>302</v>
      </c>
    </row>
    <row r="218" spans="1:11">
      <c r="A218" s="32" t="str">
        <f t="shared" si="13"/>
        <v>DM11303</v>
      </c>
      <c r="B218" s="93">
        <f t="shared" si="12"/>
        <v>41304</v>
      </c>
      <c r="C218" s="145"/>
      <c r="D218" s="145"/>
      <c r="E218" s="139" t="s">
        <v>16</v>
      </c>
      <c r="F218" s="140"/>
      <c r="G218" s="139" t="s">
        <v>17</v>
      </c>
      <c r="H218" s="140"/>
      <c r="I218" s="148"/>
      <c r="J218" s="151"/>
      <c r="K218" s="6">
        <v>303</v>
      </c>
    </row>
    <row r="219" spans="1:11">
      <c r="A219" s="32" t="str">
        <f t="shared" si="13"/>
        <v>DM11304</v>
      </c>
      <c r="B219" s="93">
        <f t="shared" si="12"/>
        <v>41305</v>
      </c>
      <c r="C219" s="145"/>
      <c r="D219" s="145"/>
      <c r="E219" s="139" t="s">
        <v>18</v>
      </c>
      <c r="F219" s="140"/>
      <c r="G219" s="139" t="s">
        <v>19</v>
      </c>
      <c r="H219" s="140"/>
      <c r="I219" s="148"/>
      <c r="J219" s="151"/>
      <c r="K219" s="6">
        <v>304</v>
      </c>
    </row>
    <row r="220" spans="1:11">
      <c r="A220" s="32" t="str">
        <f t="shared" si="13"/>
        <v>DM11305</v>
      </c>
      <c r="B220" s="93">
        <f t="shared" si="12"/>
        <v>41306</v>
      </c>
      <c r="C220" s="145"/>
      <c r="D220" s="145"/>
      <c r="E220" s="139" t="s">
        <v>20</v>
      </c>
      <c r="F220" s="140"/>
      <c r="G220" s="139" t="s">
        <v>21</v>
      </c>
      <c r="H220" s="140"/>
      <c r="I220" s="148"/>
      <c r="J220" s="151"/>
      <c r="K220" s="6">
        <v>305</v>
      </c>
    </row>
    <row r="221" spans="1:11">
      <c r="A221" s="32" t="str">
        <f t="shared" si="13"/>
        <v>DM11306</v>
      </c>
      <c r="B221" s="93">
        <f t="shared" si="12"/>
        <v>41307</v>
      </c>
      <c r="C221" s="146"/>
      <c r="D221" s="146"/>
      <c r="E221" s="139" t="s">
        <v>22</v>
      </c>
      <c r="F221" s="140"/>
      <c r="G221" s="139" t="s">
        <v>23</v>
      </c>
      <c r="H221" s="140"/>
      <c r="I221" s="149"/>
      <c r="J221" s="152"/>
      <c r="K221" s="6">
        <v>306</v>
      </c>
    </row>
    <row r="222" spans="1:11">
      <c r="A222" s="32" t="str">
        <f t="shared" si="13"/>
        <v>DM11307</v>
      </c>
      <c r="B222" s="93">
        <f t="shared" ref="B222:B264" si="14">$D$4+K222</f>
        <v>41308</v>
      </c>
      <c r="C222" s="144" t="s">
        <v>147</v>
      </c>
      <c r="D222" s="144" t="s">
        <v>116</v>
      </c>
      <c r="E222" s="139" t="s">
        <v>25</v>
      </c>
      <c r="F222" s="140"/>
      <c r="G222" s="139" t="s">
        <v>65</v>
      </c>
      <c r="H222" s="140"/>
      <c r="I222" s="147" t="s">
        <v>148</v>
      </c>
      <c r="J222" s="150" t="s">
        <v>64</v>
      </c>
      <c r="K222" s="6">
        <v>307</v>
      </c>
    </row>
    <row r="223" spans="1:11">
      <c r="A223" s="32" t="str">
        <f t="shared" si="13"/>
        <v>DM11308</v>
      </c>
      <c r="B223" s="93">
        <f t="shared" si="14"/>
        <v>41309</v>
      </c>
      <c r="C223" s="145"/>
      <c r="D223" s="145"/>
      <c r="E223" s="139" t="s">
        <v>26</v>
      </c>
      <c r="F223" s="140"/>
      <c r="G223" s="139" t="s">
        <v>27</v>
      </c>
      <c r="H223" s="140"/>
      <c r="I223" s="148"/>
      <c r="J223" s="151"/>
      <c r="K223" s="6">
        <v>308</v>
      </c>
    </row>
    <row r="224" spans="1:11">
      <c r="A224" s="32" t="str">
        <f t="shared" si="13"/>
        <v>DM11309</v>
      </c>
      <c r="B224" s="93">
        <f t="shared" si="14"/>
        <v>41310</v>
      </c>
      <c r="C224" s="145"/>
      <c r="D224" s="145"/>
      <c r="E224" s="139" t="s">
        <v>28</v>
      </c>
      <c r="F224" s="140"/>
      <c r="G224" s="139" t="s">
        <v>29</v>
      </c>
      <c r="H224" s="140"/>
      <c r="I224" s="148"/>
      <c r="J224" s="151"/>
      <c r="K224" s="6">
        <v>309</v>
      </c>
    </row>
    <row r="225" spans="1:11">
      <c r="A225" s="32" t="str">
        <f t="shared" si="13"/>
        <v>DM11310</v>
      </c>
      <c r="B225" s="93">
        <f t="shared" si="14"/>
        <v>41311</v>
      </c>
      <c r="C225" s="145"/>
      <c r="D225" s="145"/>
      <c r="E225" s="139" t="s">
        <v>30</v>
      </c>
      <c r="F225" s="140"/>
      <c r="G225" s="139" t="s">
        <v>31</v>
      </c>
      <c r="H225" s="140"/>
      <c r="I225" s="148"/>
      <c r="J225" s="151"/>
      <c r="K225" s="6">
        <v>310</v>
      </c>
    </row>
    <row r="226" spans="1:11">
      <c r="A226" s="32" t="str">
        <f t="shared" si="13"/>
        <v>DM11311</v>
      </c>
      <c r="B226" s="93">
        <f t="shared" si="14"/>
        <v>41312</v>
      </c>
      <c r="C226" s="145"/>
      <c r="D226" s="145"/>
      <c r="E226" s="139" t="s">
        <v>11</v>
      </c>
      <c r="F226" s="140"/>
      <c r="G226" s="139" t="s">
        <v>12</v>
      </c>
      <c r="H226" s="140"/>
      <c r="I226" s="148"/>
      <c r="J226" s="151"/>
      <c r="K226" s="6">
        <v>311</v>
      </c>
    </row>
    <row r="227" spans="1:11">
      <c r="A227" s="32" t="str">
        <f t="shared" si="13"/>
        <v>DM11312</v>
      </c>
      <c r="B227" s="93">
        <f t="shared" si="14"/>
        <v>41313</v>
      </c>
      <c r="C227" s="145"/>
      <c r="D227" s="145"/>
      <c r="E227" s="139" t="s">
        <v>13</v>
      </c>
      <c r="F227" s="140"/>
      <c r="G227" s="139" t="s">
        <v>14</v>
      </c>
      <c r="H227" s="140"/>
      <c r="I227" s="148"/>
      <c r="J227" s="151"/>
      <c r="K227" s="6">
        <v>312</v>
      </c>
    </row>
    <row r="228" spans="1:11">
      <c r="A228" s="32" t="str">
        <f t="shared" si="13"/>
        <v>DM11313</v>
      </c>
      <c r="B228" s="93">
        <f t="shared" si="14"/>
        <v>41314</v>
      </c>
      <c r="C228" s="145"/>
      <c r="D228" s="145"/>
      <c r="E228" s="139" t="s">
        <v>16</v>
      </c>
      <c r="F228" s="140"/>
      <c r="G228" s="139" t="s">
        <v>17</v>
      </c>
      <c r="H228" s="140"/>
      <c r="I228" s="148"/>
      <c r="J228" s="151"/>
      <c r="K228" s="6">
        <v>313</v>
      </c>
    </row>
    <row r="229" spans="1:11">
      <c r="A229" s="32" t="str">
        <f t="shared" si="13"/>
        <v>DM11314</v>
      </c>
      <c r="B229" s="93">
        <f t="shared" si="14"/>
        <v>41315</v>
      </c>
      <c r="C229" s="145"/>
      <c r="D229" s="145"/>
      <c r="E229" s="139" t="s">
        <v>18</v>
      </c>
      <c r="F229" s="140"/>
      <c r="G229" s="139" t="s">
        <v>19</v>
      </c>
      <c r="H229" s="140"/>
      <c r="I229" s="148"/>
      <c r="J229" s="151"/>
      <c r="K229" s="6">
        <v>314</v>
      </c>
    </row>
    <row r="230" spans="1:11">
      <c r="A230" s="32" t="str">
        <f t="shared" si="13"/>
        <v>DM11315</v>
      </c>
      <c r="B230" s="93">
        <f t="shared" si="14"/>
        <v>41316</v>
      </c>
      <c r="C230" s="145"/>
      <c r="D230" s="145"/>
      <c r="E230" s="139" t="s">
        <v>20</v>
      </c>
      <c r="F230" s="140"/>
      <c r="G230" s="139" t="s">
        <v>21</v>
      </c>
      <c r="H230" s="140"/>
      <c r="I230" s="148"/>
      <c r="J230" s="151"/>
      <c r="K230" s="6">
        <v>315</v>
      </c>
    </row>
    <row r="231" spans="1:11">
      <c r="A231" s="32" t="str">
        <f t="shared" si="13"/>
        <v>DM11316</v>
      </c>
      <c r="B231" s="93">
        <f t="shared" si="14"/>
        <v>41317</v>
      </c>
      <c r="C231" s="146"/>
      <c r="D231" s="146"/>
      <c r="E231" s="139" t="s">
        <v>22</v>
      </c>
      <c r="F231" s="140"/>
      <c r="G231" s="139" t="s">
        <v>23</v>
      </c>
      <c r="H231" s="140"/>
      <c r="I231" s="149"/>
      <c r="J231" s="152"/>
      <c r="K231" s="6">
        <v>316</v>
      </c>
    </row>
    <row r="232" spans="1:11">
      <c r="A232" s="32" t="str">
        <f t="shared" si="13"/>
        <v>DM11317</v>
      </c>
      <c r="B232" s="93">
        <f t="shared" si="14"/>
        <v>41318</v>
      </c>
      <c r="C232" s="41" t="s">
        <v>0</v>
      </c>
      <c r="D232" s="82"/>
      <c r="E232" s="76"/>
      <c r="F232" s="74"/>
      <c r="G232" s="74"/>
      <c r="H232" s="77"/>
      <c r="I232" s="75"/>
      <c r="J232" s="72"/>
      <c r="K232" s="6">
        <v>317</v>
      </c>
    </row>
    <row r="233" spans="1:11">
      <c r="A233" s="32" t="str">
        <f t="shared" si="13"/>
        <v>DM11318</v>
      </c>
      <c r="B233" s="93">
        <f t="shared" si="14"/>
        <v>41319</v>
      </c>
      <c r="C233" s="41" t="s">
        <v>0</v>
      </c>
      <c r="D233" s="82"/>
      <c r="E233" s="76"/>
      <c r="F233" s="74"/>
      <c r="G233" s="74"/>
      <c r="H233" s="77"/>
      <c r="I233" s="75"/>
      <c r="J233" s="72"/>
      <c r="K233" s="6">
        <v>318</v>
      </c>
    </row>
    <row r="234" spans="1:11">
      <c r="A234" s="32" t="str">
        <f t="shared" si="13"/>
        <v>DM11319</v>
      </c>
      <c r="B234" s="93">
        <f t="shared" si="14"/>
        <v>41320</v>
      </c>
      <c r="C234" s="41" t="s">
        <v>0</v>
      </c>
      <c r="D234" s="82"/>
      <c r="E234" s="76"/>
      <c r="F234" s="74"/>
      <c r="G234" s="74"/>
      <c r="H234" s="77"/>
      <c r="I234" s="75"/>
      <c r="J234" s="72"/>
      <c r="K234" s="6">
        <v>319</v>
      </c>
    </row>
    <row r="235" spans="1:11">
      <c r="A235" s="32" t="str">
        <f t="shared" si="13"/>
        <v>DM11320</v>
      </c>
      <c r="B235" s="93">
        <f t="shared" si="14"/>
        <v>41321</v>
      </c>
      <c r="C235" s="41" t="s">
        <v>0</v>
      </c>
      <c r="D235" s="82"/>
      <c r="E235" s="76"/>
      <c r="F235" s="74"/>
      <c r="G235" s="74"/>
      <c r="H235" s="77"/>
      <c r="I235" s="75"/>
      <c r="J235" s="72"/>
      <c r="K235" s="6">
        <v>320</v>
      </c>
    </row>
    <row r="236" spans="1:11">
      <c r="A236" s="32" t="str">
        <f t="shared" si="13"/>
        <v>DM11321</v>
      </c>
      <c r="B236" s="93">
        <f t="shared" si="14"/>
        <v>41322</v>
      </c>
      <c r="C236" s="41" t="s">
        <v>0</v>
      </c>
      <c r="D236" s="82"/>
      <c r="E236" s="76"/>
      <c r="F236" s="74"/>
      <c r="G236" s="74"/>
      <c r="H236" s="77"/>
      <c r="I236" s="75"/>
      <c r="J236" s="72"/>
      <c r="K236" s="6">
        <v>321</v>
      </c>
    </row>
    <row r="237" spans="1:11">
      <c r="A237" s="32" t="str">
        <f t="shared" si="13"/>
        <v>DM11322</v>
      </c>
      <c r="B237" s="93">
        <f t="shared" si="14"/>
        <v>41323</v>
      </c>
      <c r="C237" s="41" t="s">
        <v>0</v>
      </c>
      <c r="D237" s="82"/>
      <c r="E237" s="76"/>
      <c r="F237" s="74"/>
      <c r="G237" s="74"/>
      <c r="H237" s="77"/>
      <c r="I237" s="75"/>
      <c r="J237" s="72"/>
      <c r="K237" s="6">
        <v>322</v>
      </c>
    </row>
    <row r="238" spans="1:11">
      <c r="A238" s="32" t="str">
        <f t="shared" si="13"/>
        <v>DM11323</v>
      </c>
      <c r="B238" s="93">
        <f t="shared" si="14"/>
        <v>41324</v>
      </c>
      <c r="C238" s="41" t="s">
        <v>0</v>
      </c>
      <c r="D238" s="82"/>
      <c r="E238" s="76"/>
      <c r="F238" s="74"/>
      <c r="G238" s="74"/>
      <c r="H238" s="77"/>
      <c r="I238" s="75"/>
      <c r="J238" s="72"/>
      <c r="K238" s="6">
        <v>323</v>
      </c>
    </row>
    <row r="239" spans="1:11">
      <c r="A239" s="32" t="str">
        <f t="shared" si="13"/>
        <v>DM11324</v>
      </c>
      <c r="B239" s="93">
        <f t="shared" si="14"/>
        <v>41325</v>
      </c>
      <c r="C239" s="41" t="s">
        <v>0</v>
      </c>
      <c r="D239" s="82"/>
      <c r="E239" s="76"/>
      <c r="F239" s="74"/>
      <c r="G239" s="74"/>
      <c r="H239" s="77"/>
      <c r="I239" s="75"/>
      <c r="J239" s="72"/>
      <c r="K239" s="6">
        <v>324</v>
      </c>
    </row>
    <row r="240" spans="1:11">
      <c r="A240" s="32" t="str">
        <f t="shared" si="13"/>
        <v>DM11325</v>
      </c>
      <c r="B240" s="93">
        <f t="shared" si="14"/>
        <v>41326</v>
      </c>
      <c r="C240" s="41" t="s">
        <v>0</v>
      </c>
      <c r="D240" s="82"/>
      <c r="E240" s="76"/>
      <c r="F240" s="74"/>
      <c r="G240" s="74"/>
      <c r="H240" s="77"/>
      <c r="I240" s="75"/>
      <c r="J240" s="72"/>
      <c r="K240" s="6">
        <v>325</v>
      </c>
    </row>
    <row r="241" spans="1:11">
      <c r="A241" s="32" t="str">
        <f t="shared" si="13"/>
        <v>DM11326</v>
      </c>
      <c r="B241" s="93">
        <f t="shared" si="14"/>
        <v>41327</v>
      </c>
      <c r="C241" s="41" t="s">
        <v>0</v>
      </c>
      <c r="D241" s="82"/>
      <c r="E241" s="76"/>
      <c r="F241" s="74"/>
      <c r="G241" s="74"/>
      <c r="H241" s="77"/>
      <c r="I241" s="75"/>
      <c r="J241" s="72"/>
      <c r="K241" s="6">
        <v>326</v>
      </c>
    </row>
    <row r="242" spans="1:11">
      <c r="A242" s="32" t="str">
        <f t="shared" si="13"/>
        <v>DM11327</v>
      </c>
      <c r="B242" s="93">
        <f t="shared" si="14"/>
        <v>41328</v>
      </c>
      <c r="C242" s="41" t="s">
        <v>0</v>
      </c>
      <c r="D242" s="82"/>
      <c r="E242" s="76"/>
      <c r="F242" s="74"/>
      <c r="G242" s="74"/>
      <c r="H242" s="77"/>
      <c r="I242" s="75"/>
      <c r="J242" s="72"/>
      <c r="K242" s="6">
        <v>327</v>
      </c>
    </row>
    <row r="243" spans="1:11">
      <c r="A243" s="32" t="str">
        <f t="shared" si="13"/>
        <v>DM11328</v>
      </c>
      <c r="B243" s="93">
        <f t="shared" si="14"/>
        <v>41329</v>
      </c>
      <c r="C243" s="41" t="s">
        <v>0</v>
      </c>
      <c r="D243" s="82"/>
      <c r="E243" s="76"/>
      <c r="F243" s="74"/>
      <c r="G243" s="74"/>
      <c r="H243" s="77"/>
      <c r="I243" s="75"/>
      <c r="J243" s="72"/>
      <c r="K243" s="6">
        <v>328</v>
      </c>
    </row>
    <row r="244" spans="1:11">
      <c r="A244" s="32" t="str">
        <f t="shared" si="13"/>
        <v>DM11329</v>
      </c>
      <c r="B244" s="93">
        <f t="shared" si="14"/>
        <v>41330</v>
      </c>
      <c r="C244" s="41" t="s">
        <v>0</v>
      </c>
      <c r="D244" s="82"/>
      <c r="E244" s="76"/>
      <c r="F244" s="74"/>
      <c r="G244" s="74"/>
      <c r="H244" s="77"/>
      <c r="I244" s="75"/>
      <c r="J244" s="72"/>
      <c r="K244" s="6">
        <v>329</v>
      </c>
    </row>
    <row r="245" spans="1:11">
      <c r="A245" s="32" t="str">
        <f t="shared" si="13"/>
        <v>DM11330</v>
      </c>
      <c r="B245" s="93">
        <f t="shared" si="14"/>
        <v>41331</v>
      </c>
      <c r="C245" s="41" t="s">
        <v>0</v>
      </c>
      <c r="D245" s="82"/>
      <c r="E245" s="76"/>
      <c r="F245" s="74"/>
      <c r="G245" s="74"/>
      <c r="H245" s="77"/>
      <c r="I245" s="75"/>
      <c r="J245" s="72"/>
      <c r="K245" s="6">
        <v>330</v>
      </c>
    </row>
    <row r="246" spans="1:11">
      <c r="A246" s="32" t="str">
        <f t="shared" si="13"/>
        <v>DM11331</v>
      </c>
      <c r="B246" s="93">
        <f t="shared" si="14"/>
        <v>41332</v>
      </c>
      <c r="C246" s="41" t="s">
        <v>0</v>
      </c>
      <c r="D246" s="82"/>
      <c r="E246" s="76"/>
      <c r="F246" s="74"/>
      <c r="G246" s="74"/>
      <c r="H246" s="77"/>
      <c r="I246" s="75"/>
      <c r="J246" s="72"/>
      <c r="K246" s="6">
        <v>331</v>
      </c>
    </row>
    <row r="247" spans="1:11">
      <c r="A247" s="32" t="str">
        <f t="shared" si="13"/>
        <v>DM11332</v>
      </c>
      <c r="B247" s="93">
        <f t="shared" si="14"/>
        <v>41333</v>
      </c>
      <c r="C247" s="41" t="s">
        <v>0</v>
      </c>
      <c r="D247" s="82"/>
      <c r="E247" s="76"/>
      <c r="F247" s="74"/>
      <c r="G247" s="74"/>
      <c r="H247" s="77"/>
      <c r="I247" s="75"/>
      <c r="J247" s="72"/>
      <c r="K247" s="6">
        <v>332</v>
      </c>
    </row>
    <row r="248" spans="1:11">
      <c r="A248" s="32" t="str">
        <f t="shared" si="13"/>
        <v>DM11333</v>
      </c>
      <c r="B248" s="93">
        <f t="shared" si="14"/>
        <v>41334</v>
      </c>
      <c r="C248" s="41" t="s">
        <v>0</v>
      </c>
      <c r="D248" s="82"/>
      <c r="E248" s="76"/>
      <c r="F248" s="74"/>
      <c r="G248" s="74"/>
      <c r="H248" s="77"/>
      <c r="I248" s="75"/>
      <c r="J248" s="72"/>
      <c r="K248" s="6">
        <v>333</v>
      </c>
    </row>
    <row r="249" spans="1:11">
      <c r="A249" s="32" t="str">
        <f t="shared" si="13"/>
        <v>DM11334</v>
      </c>
      <c r="B249" s="93">
        <f t="shared" si="14"/>
        <v>41335</v>
      </c>
      <c r="C249" s="41" t="s">
        <v>0</v>
      </c>
      <c r="D249" s="82"/>
      <c r="E249" s="76"/>
      <c r="F249" s="74"/>
      <c r="G249" s="74"/>
      <c r="H249" s="77"/>
      <c r="I249" s="75"/>
      <c r="J249" s="72"/>
      <c r="K249" s="6">
        <v>334</v>
      </c>
    </row>
    <row r="250" spans="1:11">
      <c r="A250" s="32" t="str">
        <f t="shared" si="13"/>
        <v>DM11335</v>
      </c>
      <c r="B250" s="93">
        <f t="shared" si="14"/>
        <v>41336</v>
      </c>
      <c r="C250" s="41" t="s">
        <v>0</v>
      </c>
      <c r="D250" s="82"/>
      <c r="E250" s="76"/>
      <c r="F250" s="74"/>
      <c r="G250" s="74"/>
      <c r="H250" s="77"/>
      <c r="I250" s="75"/>
      <c r="J250" s="72"/>
      <c r="K250" s="6">
        <v>335</v>
      </c>
    </row>
    <row r="251" spans="1:11">
      <c r="A251" s="32" t="str">
        <f t="shared" si="13"/>
        <v>DM11336</v>
      </c>
      <c r="B251" s="93">
        <f t="shared" si="14"/>
        <v>41337</v>
      </c>
      <c r="C251" s="41" t="s">
        <v>0</v>
      </c>
      <c r="D251" s="82"/>
      <c r="E251" s="76"/>
      <c r="F251" s="74"/>
      <c r="G251" s="74"/>
      <c r="H251" s="77"/>
      <c r="I251" s="75"/>
      <c r="J251" s="72"/>
      <c r="K251" s="6">
        <v>336</v>
      </c>
    </row>
    <row r="252" spans="1:11">
      <c r="A252" s="32" t="str">
        <f t="shared" si="13"/>
        <v>DM11337</v>
      </c>
      <c r="B252" s="93">
        <f t="shared" si="14"/>
        <v>41338</v>
      </c>
      <c r="C252" s="41" t="s">
        <v>0</v>
      </c>
      <c r="D252" s="82"/>
      <c r="E252" s="76"/>
      <c r="F252" s="74"/>
      <c r="G252" s="74"/>
      <c r="H252" s="77"/>
      <c r="I252" s="75"/>
      <c r="J252" s="72"/>
      <c r="K252" s="6">
        <v>337</v>
      </c>
    </row>
    <row r="253" spans="1:11">
      <c r="A253" s="32" t="str">
        <f t="shared" si="13"/>
        <v>DM11338</v>
      </c>
      <c r="B253" s="93">
        <f t="shared" si="14"/>
        <v>41339</v>
      </c>
      <c r="C253" s="41" t="s">
        <v>0</v>
      </c>
      <c r="D253" s="82"/>
      <c r="E253" s="76"/>
      <c r="F253" s="74"/>
      <c r="G253" s="74"/>
      <c r="H253" s="77"/>
      <c r="I253" s="75"/>
      <c r="J253" s="72"/>
      <c r="K253" s="6">
        <v>338</v>
      </c>
    </row>
    <row r="254" spans="1:11">
      <c r="A254" s="32" t="str">
        <f t="shared" si="13"/>
        <v>DM11339</v>
      </c>
      <c r="B254" s="93">
        <f t="shared" si="14"/>
        <v>41340</v>
      </c>
      <c r="C254" s="41" t="s">
        <v>0</v>
      </c>
      <c r="D254" s="82"/>
      <c r="E254" s="76"/>
      <c r="F254" s="74"/>
      <c r="G254" s="74"/>
      <c r="H254" s="77"/>
      <c r="I254" s="75"/>
      <c r="J254" s="72"/>
      <c r="K254" s="6">
        <v>339</v>
      </c>
    </row>
    <row r="255" spans="1:11">
      <c r="A255" s="32" t="str">
        <f t="shared" si="13"/>
        <v>DM11340</v>
      </c>
      <c r="B255" s="93">
        <f t="shared" si="14"/>
        <v>41341</v>
      </c>
      <c r="C255" s="41" t="s">
        <v>0</v>
      </c>
      <c r="D255" s="82"/>
      <c r="E255" s="76"/>
      <c r="F255" s="74"/>
      <c r="G255" s="74"/>
      <c r="H255" s="77"/>
      <c r="I255" s="75"/>
      <c r="J255" s="72"/>
      <c r="K255" s="6">
        <v>340</v>
      </c>
    </row>
    <row r="256" spans="1:11">
      <c r="A256" s="32" t="str">
        <f t="shared" si="13"/>
        <v>DM11341</v>
      </c>
      <c r="B256" s="93">
        <f t="shared" si="14"/>
        <v>41342</v>
      </c>
      <c r="C256" s="41" t="s">
        <v>0</v>
      </c>
      <c r="D256" s="82"/>
      <c r="E256" s="76"/>
      <c r="F256" s="74"/>
      <c r="G256" s="74"/>
      <c r="H256" s="77"/>
      <c r="I256" s="75"/>
      <c r="J256" s="72"/>
      <c r="K256" s="6">
        <v>341</v>
      </c>
    </row>
    <row r="257" spans="1:11">
      <c r="A257" s="32" t="str">
        <f t="shared" si="13"/>
        <v>DM11342</v>
      </c>
      <c r="B257" s="93">
        <f t="shared" si="14"/>
        <v>41343</v>
      </c>
      <c r="C257" s="41" t="s">
        <v>0</v>
      </c>
      <c r="D257" s="82"/>
      <c r="E257" s="76"/>
      <c r="F257" s="74"/>
      <c r="G257" s="74"/>
      <c r="H257" s="77"/>
      <c r="I257" s="75"/>
      <c r="J257" s="72"/>
      <c r="K257" s="6">
        <v>342</v>
      </c>
    </row>
    <row r="258" spans="1:11">
      <c r="A258" s="32" t="str">
        <f t="shared" si="13"/>
        <v>DM11343</v>
      </c>
      <c r="B258" s="93">
        <f t="shared" si="14"/>
        <v>41344</v>
      </c>
      <c r="C258" s="41" t="s">
        <v>0</v>
      </c>
      <c r="D258" s="82"/>
      <c r="E258" s="76"/>
      <c r="F258" s="74"/>
      <c r="G258" s="74"/>
      <c r="H258" s="77"/>
      <c r="I258" s="75"/>
      <c r="J258" s="72"/>
      <c r="K258" s="6">
        <v>343</v>
      </c>
    </row>
    <row r="259" spans="1:11">
      <c r="A259" s="32" t="str">
        <f t="shared" si="13"/>
        <v>DM11344</v>
      </c>
      <c r="B259" s="93">
        <f t="shared" si="14"/>
        <v>41345</v>
      </c>
      <c r="C259" s="41" t="s">
        <v>0</v>
      </c>
      <c r="D259" s="82"/>
      <c r="E259" s="76"/>
      <c r="F259" s="74"/>
      <c r="G259" s="74"/>
      <c r="H259" s="77"/>
      <c r="I259" s="75"/>
      <c r="J259" s="72"/>
      <c r="K259" s="6">
        <v>344</v>
      </c>
    </row>
    <row r="260" spans="1:11">
      <c r="A260" s="32" t="str">
        <f t="shared" si="13"/>
        <v>DM11345</v>
      </c>
      <c r="B260" s="93">
        <f t="shared" si="14"/>
        <v>41346</v>
      </c>
      <c r="C260" s="41" t="s">
        <v>0</v>
      </c>
      <c r="D260" s="82"/>
      <c r="E260" s="76"/>
      <c r="F260" s="74"/>
      <c r="G260" s="74"/>
      <c r="H260" s="77"/>
      <c r="I260" s="75"/>
      <c r="J260" s="72"/>
      <c r="K260" s="6">
        <v>345</v>
      </c>
    </row>
    <row r="261" spans="1:11">
      <c r="A261" s="32" t="str">
        <f t="shared" si="13"/>
        <v>DM11346</v>
      </c>
      <c r="B261" s="93">
        <f t="shared" si="14"/>
        <v>41347</v>
      </c>
      <c r="C261" s="41" t="s">
        <v>0</v>
      </c>
      <c r="D261" s="82"/>
      <c r="E261" s="76"/>
      <c r="F261" s="74"/>
      <c r="G261" s="74"/>
      <c r="H261" s="77"/>
      <c r="I261" s="75"/>
      <c r="J261" s="72"/>
      <c r="K261" s="6">
        <v>346</v>
      </c>
    </row>
    <row r="262" spans="1:11">
      <c r="A262" s="32" t="str">
        <f t="shared" ref="A262:A264" si="15">LEFT($D$3, 2) &amp; (MID($D$3, 3, LEN($D$3)) + K262)</f>
        <v>DM11347</v>
      </c>
      <c r="B262" s="93">
        <f t="shared" si="14"/>
        <v>41348</v>
      </c>
      <c r="C262" s="41" t="s">
        <v>0</v>
      </c>
      <c r="D262" s="82"/>
      <c r="E262" s="76"/>
      <c r="F262" s="74"/>
      <c r="G262" s="74"/>
      <c r="H262" s="77"/>
      <c r="I262" s="75"/>
      <c r="J262" s="72"/>
      <c r="K262" s="6">
        <v>347</v>
      </c>
    </row>
    <row r="263" spans="1:11">
      <c r="A263" s="32" t="str">
        <f t="shared" si="15"/>
        <v>DM11348</v>
      </c>
      <c r="B263" s="93">
        <f t="shared" si="14"/>
        <v>41349</v>
      </c>
      <c r="C263" s="41" t="s">
        <v>0</v>
      </c>
      <c r="D263" s="82"/>
      <c r="E263" s="76"/>
      <c r="F263" s="74"/>
      <c r="G263" s="74"/>
      <c r="H263" s="77"/>
      <c r="I263" s="75"/>
      <c r="J263" s="72"/>
      <c r="K263" s="6">
        <v>348</v>
      </c>
    </row>
    <row r="264" spans="1:11" ht="15.75" thickBot="1">
      <c r="A264" s="32" t="str">
        <f t="shared" si="15"/>
        <v>DM11349</v>
      </c>
      <c r="B264" s="93">
        <f t="shared" si="14"/>
        <v>41350</v>
      </c>
      <c r="C264" s="41" t="s">
        <v>0</v>
      </c>
      <c r="D264" s="82"/>
      <c r="E264" s="76"/>
      <c r="F264" s="74"/>
      <c r="G264" s="74"/>
      <c r="H264" s="77"/>
      <c r="I264" s="75"/>
      <c r="J264" s="72"/>
      <c r="K264" s="6">
        <v>349</v>
      </c>
    </row>
    <row r="265" spans="1:11" ht="15.6" customHeight="1">
      <c r="A265" s="141" t="s">
        <v>153</v>
      </c>
      <c r="B265" s="142"/>
      <c r="C265" s="142"/>
      <c r="D265" s="142"/>
      <c r="E265" s="142"/>
      <c r="F265" s="142"/>
      <c r="G265" s="142"/>
      <c r="H265" s="142"/>
      <c r="I265" s="142"/>
      <c r="J265" s="143"/>
    </row>
    <row r="266" spans="1:11" ht="15.6" customHeight="1">
      <c r="A266" s="32" t="str">
        <f t="shared" ref="A266:A282" si="16">LEFT($D$3, 2) &amp; (MID($D$3, 3, LEN($D$3)) + K266)</f>
        <v>DM11350</v>
      </c>
      <c r="B266" s="93">
        <f t="shared" ref="B266:B289" si="17">$D$4+K266</f>
        <v>41351</v>
      </c>
      <c r="C266" s="144" t="s">
        <v>59</v>
      </c>
      <c r="D266" s="144" t="s">
        <v>58</v>
      </c>
      <c r="E266" s="139" t="s">
        <v>25</v>
      </c>
      <c r="F266" s="140"/>
      <c r="G266" s="139" t="s">
        <v>65</v>
      </c>
      <c r="H266" s="140"/>
      <c r="I266" s="147" t="s">
        <v>60</v>
      </c>
      <c r="J266" s="150" t="s">
        <v>82</v>
      </c>
      <c r="K266" s="6">
        <v>350</v>
      </c>
    </row>
    <row r="267" spans="1:11" ht="15.6" customHeight="1">
      <c r="A267" s="32" t="str">
        <f t="shared" si="16"/>
        <v>DM11351</v>
      </c>
      <c r="B267" s="93">
        <f t="shared" si="17"/>
        <v>41352</v>
      </c>
      <c r="C267" s="145"/>
      <c r="D267" s="145"/>
      <c r="E267" s="139" t="s">
        <v>26</v>
      </c>
      <c r="F267" s="140"/>
      <c r="G267" s="139" t="s">
        <v>27</v>
      </c>
      <c r="H267" s="140"/>
      <c r="I267" s="148"/>
      <c r="J267" s="151"/>
      <c r="K267" s="6">
        <v>351</v>
      </c>
    </row>
    <row r="268" spans="1:11" ht="15.75" customHeight="1">
      <c r="A268" s="32" t="str">
        <f t="shared" si="16"/>
        <v>DM11352</v>
      </c>
      <c r="B268" s="93">
        <f t="shared" si="17"/>
        <v>41353</v>
      </c>
      <c r="C268" s="146"/>
      <c r="D268" s="145"/>
      <c r="E268" s="139" t="s">
        <v>28</v>
      </c>
      <c r="F268" s="140"/>
      <c r="G268" s="139" t="s">
        <v>29</v>
      </c>
      <c r="H268" s="140"/>
      <c r="I268" s="148"/>
      <c r="J268" s="151"/>
      <c r="K268" s="6">
        <v>352</v>
      </c>
    </row>
    <row r="269" spans="1:11" ht="15.75" customHeight="1">
      <c r="A269" s="32" t="str">
        <f t="shared" si="16"/>
        <v>DM11353</v>
      </c>
      <c r="B269" s="93">
        <f t="shared" si="17"/>
        <v>41354</v>
      </c>
      <c r="C269" s="144" t="s">
        <v>61</v>
      </c>
      <c r="D269" s="144" t="s">
        <v>81</v>
      </c>
      <c r="E269" s="165" t="s">
        <v>67</v>
      </c>
      <c r="F269" s="166"/>
      <c r="G269" s="167" t="s">
        <v>66</v>
      </c>
      <c r="H269" s="168"/>
      <c r="I269" s="147" t="s">
        <v>62</v>
      </c>
      <c r="J269" s="150" t="s">
        <v>63</v>
      </c>
      <c r="K269" s="6">
        <v>353</v>
      </c>
    </row>
    <row r="270" spans="1:11" ht="16.5" customHeight="1">
      <c r="A270" s="32" t="str">
        <f t="shared" si="16"/>
        <v>DM11354</v>
      </c>
      <c r="B270" s="93">
        <f t="shared" si="17"/>
        <v>41355</v>
      </c>
      <c r="C270" s="145"/>
      <c r="D270" s="145"/>
      <c r="E270" s="165" t="s">
        <v>69</v>
      </c>
      <c r="F270" s="166"/>
      <c r="G270" s="167" t="s">
        <v>68</v>
      </c>
      <c r="H270" s="168"/>
      <c r="I270" s="148"/>
      <c r="J270" s="151"/>
      <c r="K270" s="6">
        <v>354</v>
      </c>
    </row>
    <row r="271" spans="1:11" ht="16.5" customHeight="1">
      <c r="A271" s="32" t="str">
        <f t="shared" si="16"/>
        <v>DM11355</v>
      </c>
      <c r="B271" s="93">
        <f t="shared" si="17"/>
        <v>41356</v>
      </c>
      <c r="C271" s="145"/>
      <c r="D271" s="145"/>
      <c r="E271" s="165" t="s">
        <v>71</v>
      </c>
      <c r="F271" s="166"/>
      <c r="G271" s="167" t="s">
        <v>70</v>
      </c>
      <c r="H271" s="168"/>
      <c r="I271" s="148"/>
      <c r="J271" s="151"/>
      <c r="K271" s="6">
        <v>355</v>
      </c>
    </row>
    <row r="272" spans="1:11" ht="16.5" customHeight="1">
      <c r="A272" s="32" t="str">
        <f t="shared" si="16"/>
        <v>DM11356</v>
      </c>
      <c r="B272" s="93">
        <f t="shared" si="17"/>
        <v>41357</v>
      </c>
      <c r="C272" s="145"/>
      <c r="D272" s="145"/>
      <c r="E272" s="165" t="s">
        <v>73</v>
      </c>
      <c r="F272" s="166"/>
      <c r="G272" s="167" t="s">
        <v>72</v>
      </c>
      <c r="H272" s="168"/>
      <c r="I272" s="148"/>
      <c r="J272" s="151"/>
      <c r="K272" s="6">
        <v>356</v>
      </c>
    </row>
    <row r="273" spans="1:11" ht="16.149999999999999" customHeight="1">
      <c r="A273" s="32" t="str">
        <f t="shared" si="16"/>
        <v>DM11357</v>
      </c>
      <c r="B273" s="93">
        <f t="shared" si="17"/>
        <v>41358</v>
      </c>
      <c r="C273" s="145"/>
      <c r="D273" s="145"/>
      <c r="E273" s="165" t="s">
        <v>77</v>
      </c>
      <c r="F273" s="166"/>
      <c r="G273" s="167" t="s">
        <v>74</v>
      </c>
      <c r="H273" s="168"/>
      <c r="I273" s="148"/>
      <c r="J273" s="151"/>
      <c r="K273" s="6">
        <v>357</v>
      </c>
    </row>
    <row r="274" spans="1:11" ht="15.6" customHeight="1">
      <c r="A274" s="32" t="str">
        <f t="shared" si="16"/>
        <v>DM11358</v>
      </c>
      <c r="B274" s="93">
        <f t="shared" si="17"/>
        <v>41359</v>
      </c>
      <c r="C274" s="145"/>
      <c r="D274" s="145"/>
      <c r="E274" s="165" t="s">
        <v>78</v>
      </c>
      <c r="F274" s="166"/>
      <c r="G274" s="167" t="s">
        <v>75</v>
      </c>
      <c r="H274" s="168"/>
      <c r="I274" s="148"/>
      <c r="J274" s="151"/>
      <c r="K274" s="6">
        <v>358</v>
      </c>
    </row>
    <row r="275" spans="1:11" ht="15.6" customHeight="1">
      <c r="A275" s="32" t="str">
        <f t="shared" si="16"/>
        <v>DM11359</v>
      </c>
      <c r="B275" s="93">
        <f t="shared" si="17"/>
        <v>41360</v>
      </c>
      <c r="C275" s="146"/>
      <c r="D275" s="146"/>
      <c r="E275" s="165" t="s">
        <v>79</v>
      </c>
      <c r="F275" s="166"/>
      <c r="G275" s="167" t="s">
        <v>76</v>
      </c>
      <c r="H275" s="168"/>
      <c r="I275" s="149"/>
      <c r="J275" s="152"/>
      <c r="K275" s="6">
        <v>359</v>
      </c>
    </row>
    <row r="276" spans="1:11" ht="15" customHeight="1">
      <c r="A276" s="32" t="str">
        <f t="shared" si="16"/>
        <v>DM11360</v>
      </c>
      <c r="B276" s="93">
        <f t="shared" si="17"/>
        <v>41361</v>
      </c>
      <c r="C276" s="69" t="s">
        <v>154</v>
      </c>
      <c r="D276" s="73" t="s">
        <v>81</v>
      </c>
      <c r="E276" s="60">
        <v>0</v>
      </c>
      <c r="F276" s="61">
        <v>0</v>
      </c>
      <c r="G276" s="61">
        <v>0</v>
      </c>
      <c r="H276" s="114" t="s">
        <v>262</v>
      </c>
      <c r="I276" s="70" t="s">
        <v>157</v>
      </c>
      <c r="J276" s="71" t="s">
        <v>156</v>
      </c>
      <c r="K276" s="6">
        <v>360</v>
      </c>
    </row>
    <row r="277" spans="1:11" ht="15.75" customHeight="1">
      <c r="A277" s="32" t="str">
        <f t="shared" si="16"/>
        <v>DM11361</v>
      </c>
      <c r="B277" s="93">
        <f t="shared" si="17"/>
        <v>41362</v>
      </c>
      <c r="C277" s="69" t="s">
        <v>155</v>
      </c>
      <c r="D277" s="73" t="s">
        <v>81</v>
      </c>
      <c r="E277" s="60">
        <v>0</v>
      </c>
      <c r="F277" s="61">
        <v>0</v>
      </c>
      <c r="G277" s="61">
        <v>0</v>
      </c>
      <c r="H277" s="114" t="s">
        <v>262</v>
      </c>
      <c r="I277" s="70" t="s">
        <v>158</v>
      </c>
      <c r="J277" s="71" t="s">
        <v>156</v>
      </c>
      <c r="K277" s="6">
        <v>361</v>
      </c>
    </row>
    <row r="278" spans="1:11" ht="15.75" customHeight="1">
      <c r="A278" s="32" t="str">
        <f t="shared" si="16"/>
        <v>DM11362</v>
      </c>
      <c r="B278" s="93">
        <f t="shared" si="17"/>
        <v>41363</v>
      </c>
      <c r="C278" s="169" t="s">
        <v>160</v>
      </c>
      <c r="D278" s="169" t="s">
        <v>58</v>
      </c>
      <c r="E278" s="170" t="s">
        <v>25</v>
      </c>
      <c r="F278" s="170"/>
      <c r="G278" s="170" t="s">
        <v>65</v>
      </c>
      <c r="H278" s="170"/>
      <c r="I278" s="171" t="s">
        <v>161</v>
      </c>
      <c r="J278" s="172" t="s">
        <v>162</v>
      </c>
      <c r="K278" s="6">
        <v>362</v>
      </c>
    </row>
    <row r="279" spans="1:11" ht="16.5" customHeight="1">
      <c r="A279" s="32" t="str">
        <f t="shared" si="16"/>
        <v>DM11363</v>
      </c>
      <c r="B279" s="93">
        <f t="shared" si="17"/>
        <v>41364</v>
      </c>
      <c r="C279" s="169"/>
      <c r="D279" s="169"/>
      <c r="E279" s="170" t="s">
        <v>26</v>
      </c>
      <c r="F279" s="170"/>
      <c r="G279" s="170" t="s">
        <v>27</v>
      </c>
      <c r="H279" s="170"/>
      <c r="I279" s="171"/>
      <c r="J279" s="172"/>
      <c r="K279" s="6">
        <v>363</v>
      </c>
    </row>
    <row r="280" spans="1:11" ht="16.5" customHeight="1">
      <c r="A280" s="32" t="str">
        <f t="shared" si="16"/>
        <v>DM11364</v>
      </c>
      <c r="B280" s="93">
        <f t="shared" si="17"/>
        <v>41365</v>
      </c>
      <c r="C280" s="41" t="s">
        <v>0</v>
      </c>
      <c r="D280" s="82"/>
      <c r="E280" s="76"/>
      <c r="F280" s="74"/>
      <c r="G280" s="74"/>
      <c r="H280" s="77"/>
      <c r="I280" s="75"/>
      <c r="J280" s="72"/>
      <c r="K280" s="6">
        <v>364</v>
      </c>
    </row>
    <row r="281" spans="1:11" ht="16.5" customHeight="1">
      <c r="A281" s="32" t="str">
        <f t="shared" si="16"/>
        <v>DM11365</v>
      </c>
      <c r="B281" s="93">
        <f t="shared" si="17"/>
        <v>41366</v>
      </c>
      <c r="C281" s="41" t="s">
        <v>0</v>
      </c>
      <c r="D281" s="82"/>
      <c r="E281" s="76"/>
      <c r="F281" s="74"/>
      <c r="G281" s="74"/>
      <c r="H281" s="77"/>
      <c r="I281" s="75"/>
      <c r="J281" s="72"/>
      <c r="K281" s="6">
        <v>365</v>
      </c>
    </row>
    <row r="282" spans="1:11" ht="16.5" customHeight="1">
      <c r="A282" s="32" t="str">
        <f t="shared" si="16"/>
        <v>DM11366</v>
      </c>
      <c r="B282" s="93">
        <f t="shared" si="17"/>
        <v>41367</v>
      </c>
      <c r="C282" s="41" t="s">
        <v>0</v>
      </c>
      <c r="D282" s="82"/>
      <c r="E282" s="76"/>
      <c r="F282" s="74"/>
      <c r="G282" s="74"/>
      <c r="H282" s="77"/>
      <c r="I282" s="75"/>
      <c r="J282" s="72"/>
      <c r="K282" s="6">
        <v>366</v>
      </c>
    </row>
    <row r="283" spans="1:11" ht="16.5" customHeight="1">
      <c r="A283" s="32" t="str">
        <f t="shared" ref="A283:A291" si="18">LEFT($D$3, 2) &amp; (MID($D$3, 3, LEN($D$3)) + K283)</f>
        <v>DM11367</v>
      </c>
      <c r="B283" s="93">
        <f t="shared" si="17"/>
        <v>41368</v>
      </c>
      <c r="C283" s="41" t="s">
        <v>0</v>
      </c>
      <c r="D283" s="82"/>
      <c r="E283" s="76"/>
      <c r="F283" s="74"/>
      <c r="G283" s="74"/>
      <c r="H283" s="77"/>
      <c r="I283" s="75"/>
      <c r="J283" s="72"/>
      <c r="K283" s="6">
        <v>367</v>
      </c>
    </row>
    <row r="284" spans="1:11" ht="16.5" customHeight="1">
      <c r="A284" s="32" t="str">
        <f t="shared" si="18"/>
        <v>DM11368</v>
      </c>
      <c r="B284" s="93">
        <f t="shared" si="17"/>
        <v>41369</v>
      </c>
      <c r="C284" s="41" t="s">
        <v>0</v>
      </c>
      <c r="D284" s="82"/>
      <c r="E284" s="76"/>
      <c r="F284" s="74"/>
      <c r="G284" s="74"/>
      <c r="H284" s="77"/>
      <c r="I284" s="75"/>
      <c r="J284" s="72"/>
      <c r="K284" s="6">
        <v>368</v>
      </c>
    </row>
    <row r="285" spans="1:11">
      <c r="A285" s="32" t="str">
        <f t="shared" si="18"/>
        <v>DM11369</v>
      </c>
      <c r="B285" s="93">
        <f t="shared" si="17"/>
        <v>41370</v>
      </c>
      <c r="C285" s="41" t="s">
        <v>0</v>
      </c>
      <c r="D285" s="82"/>
      <c r="E285" s="76"/>
      <c r="F285" s="74"/>
      <c r="G285" s="74"/>
      <c r="H285" s="77"/>
      <c r="I285" s="75"/>
      <c r="J285" s="72"/>
      <c r="K285" s="6">
        <v>369</v>
      </c>
    </row>
    <row r="286" spans="1:11">
      <c r="A286" s="32" t="str">
        <f t="shared" si="18"/>
        <v>DM11370</v>
      </c>
      <c r="B286" s="93">
        <f t="shared" si="17"/>
        <v>41371</v>
      </c>
      <c r="C286" s="41" t="s">
        <v>0</v>
      </c>
      <c r="D286" s="82"/>
      <c r="E286" s="76"/>
      <c r="F286" s="74"/>
      <c r="G286" s="74"/>
      <c r="H286" s="77"/>
      <c r="I286" s="75"/>
      <c r="J286" s="72"/>
      <c r="K286" s="6">
        <v>370</v>
      </c>
    </row>
    <row r="287" spans="1:11">
      <c r="A287" s="32" t="str">
        <f t="shared" si="18"/>
        <v>DM11371</v>
      </c>
      <c r="B287" s="93">
        <f t="shared" si="17"/>
        <v>41372</v>
      </c>
      <c r="C287" s="69" t="s">
        <v>114</v>
      </c>
      <c r="D287" s="68" t="s">
        <v>116</v>
      </c>
      <c r="E287" s="83">
        <v>0</v>
      </c>
      <c r="F287" s="83">
        <v>0</v>
      </c>
      <c r="G287" s="83">
        <v>0</v>
      </c>
      <c r="H287" s="68" t="s">
        <v>262</v>
      </c>
      <c r="I287" s="78" t="s">
        <v>159</v>
      </c>
      <c r="J287" s="79" t="s">
        <v>156</v>
      </c>
      <c r="K287" s="6">
        <v>371</v>
      </c>
    </row>
    <row r="288" spans="1:11" ht="15" customHeight="1">
      <c r="A288" s="32" t="str">
        <f t="shared" si="18"/>
        <v>DM11372</v>
      </c>
      <c r="B288" s="93">
        <f t="shared" si="17"/>
        <v>41373</v>
      </c>
      <c r="C288" s="94" t="s">
        <v>194</v>
      </c>
      <c r="D288" s="102" t="s">
        <v>116</v>
      </c>
      <c r="E288" s="61">
        <v>0</v>
      </c>
      <c r="F288" s="61">
        <v>0</v>
      </c>
      <c r="G288" s="99" t="s">
        <v>198</v>
      </c>
      <c r="H288" s="99" t="s">
        <v>198</v>
      </c>
      <c r="I288" s="100" t="s">
        <v>199</v>
      </c>
      <c r="J288" s="101" t="s">
        <v>200</v>
      </c>
      <c r="K288" s="6">
        <v>372</v>
      </c>
    </row>
    <row r="289" spans="1:11" ht="15" customHeight="1">
      <c r="A289" s="32" t="str">
        <f t="shared" si="18"/>
        <v>DM11373</v>
      </c>
      <c r="B289" s="93">
        <f t="shared" si="17"/>
        <v>41374</v>
      </c>
      <c r="C289" s="105"/>
      <c r="D289" s="105"/>
      <c r="E289" s="108" t="s">
        <v>26</v>
      </c>
      <c r="F289" s="109"/>
      <c r="G289" s="108" t="s">
        <v>27</v>
      </c>
      <c r="H289" s="109"/>
      <c r="I289" s="107"/>
      <c r="J289" s="106"/>
      <c r="K289" s="6">
        <v>373</v>
      </c>
    </row>
    <row r="290" spans="1:11" ht="15" customHeight="1">
      <c r="A290" s="32" t="str">
        <f t="shared" si="18"/>
        <v>DM11374</v>
      </c>
      <c r="B290" s="93">
        <f t="shared" ref="B290:B295" si="19">$D$4+K290</f>
        <v>41375</v>
      </c>
      <c r="C290" s="105"/>
      <c r="D290" s="105"/>
      <c r="E290" s="108" t="s">
        <v>28</v>
      </c>
      <c r="F290" s="109"/>
      <c r="G290" s="108" t="s">
        <v>29</v>
      </c>
      <c r="H290" s="109"/>
      <c r="I290" s="107"/>
      <c r="J290" s="106"/>
      <c r="K290" s="6">
        <v>374</v>
      </c>
    </row>
    <row r="291" spans="1:11" ht="15" customHeight="1">
      <c r="A291" s="32" t="str">
        <f t="shared" si="18"/>
        <v>DM11375</v>
      </c>
      <c r="B291" s="93">
        <f t="shared" si="19"/>
        <v>41376</v>
      </c>
      <c r="C291" s="105"/>
      <c r="D291" s="105"/>
      <c r="E291" s="108" t="s">
        <v>30</v>
      </c>
      <c r="F291" s="109"/>
      <c r="G291" s="108" t="s">
        <v>31</v>
      </c>
      <c r="H291" s="109"/>
      <c r="I291" s="107"/>
      <c r="J291" s="106"/>
      <c r="K291" s="6">
        <v>375</v>
      </c>
    </row>
    <row r="292" spans="1:11">
      <c r="A292" s="32" t="str">
        <f t="shared" ref="A292:A295" si="20">LEFT($D$3, 2) &amp; (MID($D$3, 3, LEN($D$3)) + K292)</f>
        <v>DM11376</v>
      </c>
      <c r="B292" s="93">
        <f t="shared" si="19"/>
        <v>41377</v>
      </c>
      <c r="C292" s="41" t="s">
        <v>0</v>
      </c>
      <c r="D292" s="82"/>
      <c r="E292" s="76"/>
      <c r="F292" s="74"/>
      <c r="G292" s="74"/>
      <c r="H292" s="77"/>
      <c r="I292" s="75"/>
      <c r="J292" s="72"/>
      <c r="K292" s="6">
        <v>376</v>
      </c>
    </row>
    <row r="293" spans="1:11">
      <c r="A293" s="32" t="str">
        <f t="shared" si="20"/>
        <v>DM11377</v>
      </c>
      <c r="B293" s="93">
        <f t="shared" si="19"/>
        <v>41378</v>
      </c>
      <c r="C293" s="41" t="s">
        <v>0</v>
      </c>
      <c r="D293" s="82"/>
      <c r="E293" s="76"/>
      <c r="F293" s="74"/>
      <c r="G293" s="74"/>
      <c r="H293" s="77"/>
      <c r="I293" s="75"/>
      <c r="J293" s="72"/>
      <c r="K293" s="6">
        <v>377</v>
      </c>
    </row>
    <row r="294" spans="1:11">
      <c r="A294" s="32" t="str">
        <f t="shared" si="20"/>
        <v>DM11378</v>
      </c>
      <c r="B294" s="93">
        <f t="shared" si="19"/>
        <v>41379</v>
      </c>
      <c r="C294" s="41" t="s">
        <v>0</v>
      </c>
      <c r="D294" s="82"/>
      <c r="E294" s="76"/>
      <c r="F294" s="74"/>
      <c r="G294" s="74"/>
      <c r="H294" s="77"/>
      <c r="I294" s="75"/>
      <c r="J294" s="72"/>
      <c r="K294" s="6">
        <v>378</v>
      </c>
    </row>
    <row r="295" spans="1:11" ht="15.75" thickBot="1">
      <c r="A295" s="32" t="str">
        <f t="shared" si="20"/>
        <v>DM11379</v>
      </c>
      <c r="B295" s="93">
        <f t="shared" si="19"/>
        <v>41380</v>
      </c>
      <c r="C295" s="41" t="s">
        <v>0</v>
      </c>
      <c r="D295" s="82"/>
      <c r="E295" s="76"/>
      <c r="F295" s="74"/>
      <c r="G295" s="74"/>
      <c r="H295" s="77"/>
      <c r="I295" s="75"/>
      <c r="J295" s="72"/>
      <c r="K295" s="6">
        <v>379</v>
      </c>
    </row>
    <row r="296" spans="1:11" ht="15.6" customHeight="1">
      <c r="A296" s="141" t="s">
        <v>163</v>
      </c>
      <c r="B296" s="142"/>
      <c r="C296" s="142"/>
      <c r="D296" s="142"/>
      <c r="E296" s="142"/>
      <c r="F296" s="142"/>
      <c r="G296" s="142"/>
      <c r="H296" s="142"/>
      <c r="I296" s="142"/>
      <c r="J296" s="143"/>
    </row>
    <row r="297" spans="1:11" ht="15" customHeight="1">
      <c r="A297" s="32" t="str">
        <f t="shared" ref="A297:A311" si="21">LEFT($D$3, 2) &amp; (MID($D$3, 3, LEN($D$3)) + K297)</f>
        <v>DM11380</v>
      </c>
      <c r="B297" s="93">
        <f t="shared" ref="B297:B311" si="22">$D$4+K297</f>
        <v>41381</v>
      </c>
      <c r="C297" s="144" t="s">
        <v>59</v>
      </c>
      <c r="D297" s="144" t="s">
        <v>58</v>
      </c>
      <c r="E297" s="139" t="s">
        <v>25</v>
      </c>
      <c r="F297" s="140"/>
      <c r="G297" s="139" t="s">
        <v>65</v>
      </c>
      <c r="H297" s="140"/>
      <c r="I297" s="147" t="s">
        <v>60</v>
      </c>
      <c r="J297" s="150" t="s">
        <v>82</v>
      </c>
      <c r="K297" s="6">
        <v>380</v>
      </c>
    </row>
    <row r="298" spans="1:11" ht="15" customHeight="1">
      <c r="A298" s="32" t="str">
        <f t="shared" si="21"/>
        <v>DM11381</v>
      </c>
      <c r="B298" s="93">
        <f t="shared" si="22"/>
        <v>41382</v>
      </c>
      <c r="C298" s="145"/>
      <c r="D298" s="145"/>
      <c r="E298" s="139" t="s">
        <v>26</v>
      </c>
      <c r="F298" s="140"/>
      <c r="G298" s="139" t="s">
        <v>27</v>
      </c>
      <c r="H298" s="140"/>
      <c r="I298" s="148"/>
      <c r="J298" s="151"/>
      <c r="K298" s="6">
        <v>381</v>
      </c>
    </row>
    <row r="299" spans="1:11" ht="15" customHeight="1">
      <c r="A299" s="32" t="str">
        <f t="shared" si="21"/>
        <v>DM11382</v>
      </c>
      <c r="B299" s="93">
        <f t="shared" si="22"/>
        <v>41383</v>
      </c>
      <c r="C299" s="146"/>
      <c r="D299" s="145"/>
      <c r="E299" s="139" t="s">
        <v>28</v>
      </c>
      <c r="F299" s="140"/>
      <c r="G299" s="139" t="s">
        <v>29</v>
      </c>
      <c r="H299" s="140"/>
      <c r="I299" s="148"/>
      <c r="J299" s="151"/>
      <c r="K299" s="6">
        <v>382</v>
      </c>
    </row>
    <row r="300" spans="1:11">
      <c r="A300" s="32" t="str">
        <f t="shared" si="21"/>
        <v>DM11383</v>
      </c>
      <c r="B300" s="93">
        <f t="shared" si="22"/>
        <v>41384</v>
      </c>
      <c r="C300" s="144" t="s">
        <v>61</v>
      </c>
      <c r="D300" s="144" t="s">
        <v>81</v>
      </c>
      <c r="E300" s="165" t="s">
        <v>67</v>
      </c>
      <c r="F300" s="166"/>
      <c r="G300" s="167" t="s">
        <v>66</v>
      </c>
      <c r="H300" s="168"/>
      <c r="I300" s="147" t="s">
        <v>62</v>
      </c>
      <c r="J300" s="150" t="s">
        <v>63</v>
      </c>
      <c r="K300" s="6">
        <v>383</v>
      </c>
    </row>
    <row r="301" spans="1:11">
      <c r="A301" s="32" t="str">
        <f t="shared" si="21"/>
        <v>DM11384</v>
      </c>
      <c r="B301" s="93">
        <f t="shared" si="22"/>
        <v>41385</v>
      </c>
      <c r="C301" s="145"/>
      <c r="D301" s="145"/>
      <c r="E301" s="165" t="s">
        <v>69</v>
      </c>
      <c r="F301" s="166"/>
      <c r="G301" s="167" t="s">
        <v>68</v>
      </c>
      <c r="H301" s="168"/>
      <c r="I301" s="148"/>
      <c r="J301" s="151"/>
      <c r="K301" s="6">
        <v>384</v>
      </c>
    </row>
    <row r="302" spans="1:11">
      <c r="A302" s="32" t="str">
        <f t="shared" si="21"/>
        <v>DM11385</v>
      </c>
      <c r="B302" s="93">
        <f t="shared" si="22"/>
        <v>41386</v>
      </c>
      <c r="C302" s="145"/>
      <c r="D302" s="145"/>
      <c r="E302" s="165" t="s">
        <v>71</v>
      </c>
      <c r="F302" s="166"/>
      <c r="G302" s="167" t="s">
        <v>70</v>
      </c>
      <c r="H302" s="168"/>
      <c r="I302" s="148"/>
      <c r="J302" s="151"/>
      <c r="K302" s="6">
        <v>385</v>
      </c>
    </row>
    <row r="303" spans="1:11">
      <c r="A303" s="32" t="str">
        <f t="shared" si="21"/>
        <v>DM11386</v>
      </c>
      <c r="B303" s="93">
        <f t="shared" si="22"/>
        <v>41387</v>
      </c>
      <c r="C303" s="145"/>
      <c r="D303" s="145"/>
      <c r="E303" s="165" t="s">
        <v>73</v>
      </c>
      <c r="F303" s="166"/>
      <c r="G303" s="167" t="s">
        <v>72</v>
      </c>
      <c r="H303" s="168"/>
      <c r="I303" s="148"/>
      <c r="J303" s="151"/>
      <c r="K303" s="6">
        <v>386</v>
      </c>
    </row>
    <row r="304" spans="1:11">
      <c r="A304" s="32" t="str">
        <f t="shared" si="21"/>
        <v>DM11387</v>
      </c>
      <c r="B304" s="93">
        <f t="shared" si="22"/>
        <v>41388</v>
      </c>
      <c r="C304" s="145"/>
      <c r="D304" s="145"/>
      <c r="E304" s="165" t="s">
        <v>77</v>
      </c>
      <c r="F304" s="166"/>
      <c r="G304" s="167" t="s">
        <v>74</v>
      </c>
      <c r="H304" s="168"/>
      <c r="I304" s="148"/>
      <c r="J304" s="151"/>
      <c r="K304" s="6">
        <v>387</v>
      </c>
    </row>
    <row r="305" spans="1:11">
      <c r="A305" s="32" t="str">
        <f t="shared" si="21"/>
        <v>DM11388</v>
      </c>
      <c r="B305" s="93">
        <f t="shared" si="22"/>
        <v>41389</v>
      </c>
      <c r="C305" s="145"/>
      <c r="D305" s="145"/>
      <c r="E305" s="165" t="s">
        <v>78</v>
      </c>
      <c r="F305" s="166"/>
      <c r="G305" s="167" t="s">
        <v>75</v>
      </c>
      <c r="H305" s="168"/>
      <c r="I305" s="148"/>
      <c r="J305" s="151"/>
      <c r="K305" s="6">
        <v>388</v>
      </c>
    </row>
    <row r="306" spans="1:11">
      <c r="A306" s="32" t="str">
        <f t="shared" si="21"/>
        <v>DM11389</v>
      </c>
      <c r="B306" s="93">
        <f t="shared" si="22"/>
        <v>41390</v>
      </c>
      <c r="C306" s="146"/>
      <c r="D306" s="146"/>
      <c r="E306" s="165" t="s">
        <v>79</v>
      </c>
      <c r="F306" s="166"/>
      <c r="G306" s="167" t="s">
        <v>76</v>
      </c>
      <c r="H306" s="168"/>
      <c r="I306" s="149"/>
      <c r="J306" s="152"/>
      <c r="K306" s="6">
        <v>389</v>
      </c>
    </row>
    <row r="307" spans="1:11">
      <c r="A307" s="32" t="str">
        <f t="shared" si="21"/>
        <v>DM11390</v>
      </c>
      <c r="B307" s="93">
        <f t="shared" si="22"/>
        <v>41391</v>
      </c>
      <c r="C307" s="79" t="s">
        <v>164</v>
      </c>
      <c r="D307" s="68" t="s">
        <v>81</v>
      </c>
      <c r="E307" s="83">
        <v>0</v>
      </c>
      <c r="F307" s="83">
        <v>0</v>
      </c>
      <c r="G307" s="83">
        <v>0</v>
      </c>
      <c r="H307" s="68" t="s">
        <v>54</v>
      </c>
      <c r="I307" s="79" t="s">
        <v>165</v>
      </c>
      <c r="J307" s="79" t="s">
        <v>166</v>
      </c>
      <c r="K307" s="6">
        <v>390</v>
      </c>
    </row>
    <row r="308" spans="1:11">
      <c r="A308" s="32" t="str">
        <f t="shared" si="21"/>
        <v>DM11391</v>
      </c>
      <c r="B308" s="93">
        <f t="shared" si="22"/>
        <v>41392</v>
      </c>
      <c r="C308" s="79" t="s">
        <v>167</v>
      </c>
      <c r="D308" s="68" t="s">
        <v>81</v>
      </c>
      <c r="E308" s="83">
        <v>0</v>
      </c>
      <c r="F308" s="83">
        <v>0</v>
      </c>
      <c r="G308" s="83">
        <v>0</v>
      </c>
      <c r="H308" s="68" t="s">
        <v>54</v>
      </c>
      <c r="I308" s="79" t="s">
        <v>168</v>
      </c>
      <c r="J308" s="79" t="s">
        <v>166</v>
      </c>
      <c r="K308" s="6">
        <v>391</v>
      </c>
    </row>
    <row r="309" spans="1:11">
      <c r="A309" s="32" t="str">
        <f t="shared" si="21"/>
        <v>DM11392</v>
      </c>
      <c r="B309" s="93">
        <f t="shared" si="22"/>
        <v>41393</v>
      </c>
      <c r="C309" s="35" t="s">
        <v>0</v>
      </c>
      <c r="D309" s="64"/>
      <c r="E309" s="47"/>
      <c r="F309" s="48"/>
      <c r="G309" s="48"/>
      <c r="H309" s="49"/>
      <c r="I309" s="34"/>
      <c r="J309" s="33"/>
      <c r="K309" s="6">
        <v>392</v>
      </c>
    </row>
    <row r="310" spans="1:11">
      <c r="A310" s="32" t="str">
        <f t="shared" si="21"/>
        <v>DM11393</v>
      </c>
      <c r="B310" s="93">
        <f t="shared" si="22"/>
        <v>41394</v>
      </c>
      <c r="C310" s="35" t="s">
        <v>0</v>
      </c>
      <c r="D310" s="64"/>
      <c r="E310" s="47"/>
      <c r="F310" s="48"/>
      <c r="G310" s="48"/>
      <c r="H310" s="49"/>
      <c r="I310" s="34"/>
      <c r="J310" s="33"/>
      <c r="K310" s="6">
        <v>393</v>
      </c>
    </row>
    <row r="311" spans="1:11">
      <c r="A311" s="32" t="str">
        <f t="shared" si="21"/>
        <v>DM11394</v>
      </c>
      <c r="B311" s="93">
        <f t="shared" si="22"/>
        <v>41395</v>
      </c>
      <c r="C311" s="35" t="s">
        <v>0</v>
      </c>
      <c r="D311" s="64"/>
      <c r="E311" s="47"/>
      <c r="F311" s="48"/>
      <c r="G311" s="48"/>
      <c r="H311" s="49"/>
      <c r="I311" s="34"/>
      <c r="J311" s="33"/>
      <c r="K311" s="6">
        <v>394</v>
      </c>
    </row>
    <row r="312" spans="1:11">
      <c r="A312" s="32" t="str">
        <f t="shared" ref="A312:A316" si="23">LEFT($D$3, 2) &amp; (MID($D$3, 3, LEN($D$3)) + K312)</f>
        <v>DM11395</v>
      </c>
      <c r="B312" s="93">
        <f t="shared" ref="B312:B316" si="24">$D$4+K312</f>
        <v>41396</v>
      </c>
      <c r="C312" s="69" t="s">
        <v>114</v>
      </c>
      <c r="D312" s="68" t="s">
        <v>116</v>
      </c>
      <c r="E312" s="83">
        <v>0</v>
      </c>
      <c r="F312" s="83">
        <v>0</v>
      </c>
      <c r="G312" s="83">
        <v>0</v>
      </c>
      <c r="H312" s="68" t="s">
        <v>262</v>
      </c>
      <c r="I312" s="78" t="s">
        <v>159</v>
      </c>
      <c r="J312" s="79" t="s">
        <v>156</v>
      </c>
      <c r="K312" s="6">
        <v>395</v>
      </c>
    </row>
    <row r="313" spans="1:11" ht="15" customHeight="1">
      <c r="A313" s="32" t="str">
        <f t="shared" si="23"/>
        <v>DM11396</v>
      </c>
      <c r="B313" s="93">
        <f t="shared" si="24"/>
        <v>41397</v>
      </c>
      <c r="C313" s="94" t="s">
        <v>194</v>
      </c>
      <c r="D313" s="102" t="s">
        <v>116</v>
      </c>
      <c r="E313" s="61">
        <v>0</v>
      </c>
      <c r="F313" s="61">
        <v>0</v>
      </c>
      <c r="G313" s="99" t="s">
        <v>198</v>
      </c>
      <c r="H313" s="99" t="s">
        <v>198</v>
      </c>
      <c r="I313" s="100" t="s">
        <v>199</v>
      </c>
      <c r="J313" s="101" t="s">
        <v>200</v>
      </c>
      <c r="K313" s="6">
        <v>396</v>
      </c>
    </row>
    <row r="314" spans="1:11" ht="15" customHeight="1">
      <c r="A314" s="32" t="str">
        <f t="shared" si="23"/>
        <v>DM11397</v>
      </c>
      <c r="B314" s="93">
        <f t="shared" si="24"/>
        <v>41398</v>
      </c>
      <c r="C314" s="35" t="s">
        <v>0</v>
      </c>
      <c r="D314" s="64"/>
      <c r="E314" s="47"/>
      <c r="F314" s="48"/>
      <c r="G314" s="48"/>
      <c r="H314" s="49"/>
      <c r="I314" s="34"/>
      <c r="J314" s="33"/>
      <c r="K314" s="6">
        <v>397</v>
      </c>
    </row>
    <row r="315" spans="1:11" ht="15" customHeight="1">
      <c r="A315" s="32" t="str">
        <f t="shared" si="23"/>
        <v>DM11398</v>
      </c>
      <c r="B315" s="93">
        <f t="shared" si="24"/>
        <v>41399</v>
      </c>
      <c r="C315" s="35" t="s">
        <v>0</v>
      </c>
      <c r="D315" s="64"/>
      <c r="E315" s="47"/>
      <c r="F315" s="48"/>
      <c r="G315" s="48"/>
      <c r="H315" s="49"/>
      <c r="I315" s="34"/>
      <c r="J315" s="33"/>
      <c r="K315" s="6">
        <v>398</v>
      </c>
    </row>
    <row r="316" spans="1:11" ht="15" customHeight="1" thickBot="1">
      <c r="A316" s="32" t="str">
        <f t="shared" si="23"/>
        <v>DM11399</v>
      </c>
      <c r="B316" s="93">
        <f t="shared" si="24"/>
        <v>41400</v>
      </c>
      <c r="C316" s="35" t="s">
        <v>0</v>
      </c>
      <c r="D316" s="64"/>
      <c r="E316" s="47"/>
      <c r="F316" s="48"/>
      <c r="G316" s="48"/>
      <c r="H316" s="49"/>
      <c r="I316" s="34"/>
      <c r="J316" s="33"/>
      <c r="K316" s="6">
        <v>399</v>
      </c>
    </row>
    <row r="317" spans="1:11" ht="15.6" customHeight="1">
      <c r="A317" s="141" t="s">
        <v>169</v>
      </c>
      <c r="B317" s="142"/>
      <c r="C317" s="142"/>
      <c r="D317" s="142"/>
      <c r="E317" s="142"/>
      <c r="F317" s="142"/>
      <c r="G317" s="142"/>
      <c r="H317" s="142"/>
      <c r="I317" s="142"/>
      <c r="J317" s="143"/>
      <c r="K317" s="111"/>
    </row>
    <row r="318" spans="1:11" ht="15" customHeight="1">
      <c r="A318" s="32" t="str">
        <f t="shared" ref="A318:A349" si="25">LEFT($D$3, 2) &amp; (MID($D$3, 3, LEN($D$3)) + K318)</f>
        <v>DM11400</v>
      </c>
      <c r="B318" s="93">
        <f t="shared" ref="B318:B349" si="26">$D$4+K318</f>
        <v>41401</v>
      </c>
      <c r="C318" s="144" t="s">
        <v>59</v>
      </c>
      <c r="D318" s="144" t="s">
        <v>58</v>
      </c>
      <c r="E318" s="139" t="s">
        <v>25</v>
      </c>
      <c r="F318" s="140"/>
      <c r="G318" s="139" t="s">
        <v>65</v>
      </c>
      <c r="H318" s="140"/>
      <c r="I318" s="147" t="s">
        <v>60</v>
      </c>
      <c r="J318" s="150" t="s">
        <v>82</v>
      </c>
      <c r="K318" s="111">
        <v>400</v>
      </c>
    </row>
    <row r="319" spans="1:11" ht="15" customHeight="1">
      <c r="A319" s="32" t="str">
        <f t="shared" si="25"/>
        <v>DM11401</v>
      </c>
      <c r="B319" s="93">
        <f t="shared" si="26"/>
        <v>41402</v>
      </c>
      <c r="C319" s="145"/>
      <c r="D319" s="145"/>
      <c r="E319" s="139" t="s">
        <v>26</v>
      </c>
      <c r="F319" s="140"/>
      <c r="G319" s="139" t="s">
        <v>27</v>
      </c>
      <c r="H319" s="140"/>
      <c r="I319" s="148"/>
      <c r="J319" s="151"/>
      <c r="K319" s="111">
        <v>401</v>
      </c>
    </row>
    <row r="320" spans="1:11" ht="15" customHeight="1">
      <c r="A320" s="32" t="str">
        <f t="shared" si="25"/>
        <v>DM11402</v>
      </c>
      <c r="B320" s="93">
        <f t="shared" si="26"/>
        <v>41403</v>
      </c>
      <c r="C320" s="146"/>
      <c r="D320" s="145"/>
      <c r="E320" s="139" t="s">
        <v>28</v>
      </c>
      <c r="F320" s="140"/>
      <c r="G320" s="139" t="s">
        <v>29</v>
      </c>
      <c r="H320" s="140"/>
      <c r="I320" s="148"/>
      <c r="J320" s="151"/>
      <c r="K320" s="111">
        <v>402</v>
      </c>
    </row>
    <row r="321" spans="1:11">
      <c r="A321" s="32" t="str">
        <f t="shared" si="25"/>
        <v>DM11403</v>
      </c>
      <c r="B321" s="93">
        <f t="shared" si="26"/>
        <v>41404</v>
      </c>
      <c r="C321" s="144" t="s">
        <v>61</v>
      </c>
      <c r="D321" s="144" t="s">
        <v>81</v>
      </c>
      <c r="E321" s="165" t="s">
        <v>67</v>
      </c>
      <c r="F321" s="166"/>
      <c r="G321" s="167" t="s">
        <v>66</v>
      </c>
      <c r="H321" s="168"/>
      <c r="I321" s="147" t="s">
        <v>62</v>
      </c>
      <c r="J321" s="150" t="s">
        <v>63</v>
      </c>
      <c r="K321" s="111">
        <v>403</v>
      </c>
    </row>
    <row r="322" spans="1:11">
      <c r="A322" s="32" t="str">
        <f t="shared" si="25"/>
        <v>DM11404</v>
      </c>
      <c r="B322" s="93">
        <f t="shared" si="26"/>
        <v>41405</v>
      </c>
      <c r="C322" s="145"/>
      <c r="D322" s="145"/>
      <c r="E322" s="165" t="s">
        <v>69</v>
      </c>
      <c r="F322" s="166"/>
      <c r="G322" s="167" t="s">
        <v>68</v>
      </c>
      <c r="H322" s="168"/>
      <c r="I322" s="148"/>
      <c r="J322" s="151"/>
      <c r="K322" s="111">
        <v>404</v>
      </c>
    </row>
    <row r="323" spans="1:11">
      <c r="A323" s="32" t="str">
        <f t="shared" si="25"/>
        <v>DM11405</v>
      </c>
      <c r="B323" s="93">
        <f t="shared" si="26"/>
        <v>41406</v>
      </c>
      <c r="C323" s="145"/>
      <c r="D323" s="145"/>
      <c r="E323" s="165" t="s">
        <v>71</v>
      </c>
      <c r="F323" s="166"/>
      <c r="G323" s="167" t="s">
        <v>70</v>
      </c>
      <c r="H323" s="168"/>
      <c r="I323" s="148"/>
      <c r="J323" s="151"/>
      <c r="K323" s="111">
        <v>405</v>
      </c>
    </row>
    <row r="324" spans="1:11">
      <c r="A324" s="32" t="str">
        <f t="shared" si="25"/>
        <v>DM11406</v>
      </c>
      <c r="B324" s="93">
        <f t="shared" si="26"/>
        <v>41407</v>
      </c>
      <c r="C324" s="145"/>
      <c r="D324" s="145"/>
      <c r="E324" s="165" t="s">
        <v>73</v>
      </c>
      <c r="F324" s="166"/>
      <c r="G324" s="167" t="s">
        <v>72</v>
      </c>
      <c r="H324" s="168"/>
      <c r="I324" s="148"/>
      <c r="J324" s="151"/>
      <c r="K324" s="111">
        <v>406</v>
      </c>
    </row>
    <row r="325" spans="1:11">
      <c r="A325" s="32" t="str">
        <f t="shared" si="25"/>
        <v>DM11407</v>
      </c>
      <c r="B325" s="93">
        <f t="shared" si="26"/>
        <v>41408</v>
      </c>
      <c r="C325" s="145"/>
      <c r="D325" s="145"/>
      <c r="E325" s="165" t="s">
        <v>77</v>
      </c>
      <c r="F325" s="166"/>
      <c r="G325" s="167" t="s">
        <v>74</v>
      </c>
      <c r="H325" s="168"/>
      <c r="I325" s="148"/>
      <c r="J325" s="151"/>
      <c r="K325" s="111">
        <v>407</v>
      </c>
    </row>
    <row r="326" spans="1:11">
      <c r="A326" s="32" t="str">
        <f t="shared" si="25"/>
        <v>DM11408</v>
      </c>
      <c r="B326" s="93">
        <f t="shared" si="26"/>
        <v>41409</v>
      </c>
      <c r="C326" s="145"/>
      <c r="D326" s="145"/>
      <c r="E326" s="165" t="s">
        <v>78</v>
      </c>
      <c r="F326" s="166"/>
      <c r="G326" s="167" t="s">
        <v>75</v>
      </c>
      <c r="H326" s="168"/>
      <c r="I326" s="148"/>
      <c r="J326" s="151"/>
      <c r="K326" s="111">
        <v>408</v>
      </c>
    </row>
    <row r="327" spans="1:11">
      <c r="A327" s="32" t="str">
        <f t="shared" si="25"/>
        <v>DM11409</v>
      </c>
      <c r="B327" s="93">
        <f t="shared" si="26"/>
        <v>41410</v>
      </c>
      <c r="C327" s="146"/>
      <c r="D327" s="146"/>
      <c r="E327" s="165" t="s">
        <v>79</v>
      </c>
      <c r="F327" s="166"/>
      <c r="G327" s="167" t="s">
        <v>76</v>
      </c>
      <c r="H327" s="168"/>
      <c r="I327" s="149"/>
      <c r="J327" s="152"/>
      <c r="K327" s="111">
        <v>409</v>
      </c>
    </row>
    <row r="328" spans="1:11" ht="15" customHeight="1">
      <c r="A328" s="32" t="str">
        <f t="shared" si="25"/>
        <v>DM11410</v>
      </c>
      <c r="B328" s="93">
        <f t="shared" si="26"/>
        <v>41411</v>
      </c>
      <c r="C328" s="144" t="s">
        <v>121</v>
      </c>
      <c r="D328" s="144" t="s">
        <v>58</v>
      </c>
      <c r="E328" s="139" t="s">
        <v>25</v>
      </c>
      <c r="F328" s="140"/>
      <c r="G328" s="139" t="s">
        <v>65</v>
      </c>
      <c r="H328" s="140"/>
      <c r="I328" s="147" t="s">
        <v>1</v>
      </c>
      <c r="J328" s="150" t="s">
        <v>64</v>
      </c>
      <c r="K328" s="111">
        <v>410</v>
      </c>
    </row>
    <row r="329" spans="1:11" ht="15" customHeight="1">
      <c r="A329" s="32" t="str">
        <f t="shared" si="25"/>
        <v>DM11411</v>
      </c>
      <c r="B329" s="93">
        <f t="shared" si="26"/>
        <v>41412</v>
      </c>
      <c r="C329" s="145"/>
      <c r="D329" s="145"/>
      <c r="E329" s="139" t="s">
        <v>26</v>
      </c>
      <c r="F329" s="140"/>
      <c r="G329" s="139" t="s">
        <v>27</v>
      </c>
      <c r="H329" s="140"/>
      <c r="I329" s="148"/>
      <c r="J329" s="151"/>
      <c r="K329" s="111">
        <v>411</v>
      </c>
    </row>
    <row r="330" spans="1:11" ht="15" customHeight="1">
      <c r="A330" s="32" t="str">
        <f t="shared" si="25"/>
        <v>DM11412</v>
      </c>
      <c r="B330" s="93">
        <f t="shared" si="26"/>
        <v>41413</v>
      </c>
      <c r="C330" s="145"/>
      <c r="D330" s="145"/>
      <c r="E330" s="139" t="s">
        <v>28</v>
      </c>
      <c r="F330" s="140"/>
      <c r="G330" s="139" t="s">
        <v>29</v>
      </c>
      <c r="H330" s="140"/>
      <c r="I330" s="148"/>
      <c r="J330" s="151"/>
      <c r="K330" s="111">
        <v>412</v>
      </c>
    </row>
    <row r="331" spans="1:11" ht="15" customHeight="1">
      <c r="A331" s="32" t="str">
        <f t="shared" si="25"/>
        <v>DM11413</v>
      </c>
      <c r="B331" s="93">
        <f t="shared" si="26"/>
        <v>41414</v>
      </c>
      <c r="C331" s="145"/>
      <c r="D331" s="145"/>
      <c r="E331" s="139" t="s">
        <v>30</v>
      </c>
      <c r="F331" s="140"/>
      <c r="G331" s="139" t="s">
        <v>31</v>
      </c>
      <c r="H331" s="140"/>
      <c r="I331" s="148"/>
      <c r="J331" s="151"/>
      <c r="K331" s="111">
        <v>413</v>
      </c>
    </row>
    <row r="332" spans="1:11" ht="15" customHeight="1">
      <c r="A332" s="32" t="str">
        <f t="shared" si="25"/>
        <v>DM11414</v>
      </c>
      <c r="B332" s="93">
        <f t="shared" si="26"/>
        <v>41415</v>
      </c>
      <c r="C332" s="145"/>
      <c r="D332" s="145"/>
      <c r="E332" s="139" t="s">
        <v>11</v>
      </c>
      <c r="F332" s="140"/>
      <c r="G332" s="139" t="s">
        <v>12</v>
      </c>
      <c r="H332" s="140"/>
      <c r="I332" s="148"/>
      <c r="J332" s="151"/>
      <c r="K332" s="111">
        <v>414</v>
      </c>
    </row>
    <row r="333" spans="1:11" ht="15" customHeight="1">
      <c r="A333" s="32" t="str">
        <f t="shared" si="25"/>
        <v>DM11415</v>
      </c>
      <c r="B333" s="93">
        <f t="shared" si="26"/>
        <v>41416</v>
      </c>
      <c r="C333" s="145"/>
      <c r="D333" s="145"/>
      <c r="E333" s="139" t="s">
        <v>13</v>
      </c>
      <c r="F333" s="140"/>
      <c r="G333" s="139" t="s">
        <v>14</v>
      </c>
      <c r="H333" s="140"/>
      <c r="I333" s="148"/>
      <c r="J333" s="151"/>
      <c r="K333" s="111">
        <v>415</v>
      </c>
    </row>
    <row r="334" spans="1:11" ht="15" customHeight="1">
      <c r="A334" s="32" t="str">
        <f t="shared" si="25"/>
        <v>DM11416</v>
      </c>
      <c r="B334" s="93">
        <f t="shared" si="26"/>
        <v>41417</v>
      </c>
      <c r="C334" s="145"/>
      <c r="D334" s="145"/>
      <c r="E334" s="139" t="s">
        <v>16</v>
      </c>
      <c r="F334" s="140"/>
      <c r="G334" s="139" t="s">
        <v>17</v>
      </c>
      <c r="H334" s="140"/>
      <c r="I334" s="148"/>
      <c r="J334" s="151"/>
      <c r="K334" s="111">
        <v>416</v>
      </c>
    </row>
    <row r="335" spans="1:11" ht="15" customHeight="1">
      <c r="A335" s="32" t="str">
        <f t="shared" si="25"/>
        <v>DM11417</v>
      </c>
      <c r="B335" s="93">
        <f t="shared" si="26"/>
        <v>41418</v>
      </c>
      <c r="C335" s="145"/>
      <c r="D335" s="145"/>
      <c r="E335" s="139" t="s">
        <v>18</v>
      </c>
      <c r="F335" s="140"/>
      <c r="G335" s="139" t="s">
        <v>19</v>
      </c>
      <c r="H335" s="140"/>
      <c r="I335" s="148"/>
      <c r="J335" s="151"/>
      <c r="K335" s="111">
        <v>417</v>
      </c>
    </row>
    <row r="336" spans="1:11" ht="15" customHeight="1">
      <c r="A336" s="32" t="str">
        <f t="shared" si="25"/>
        <v>DM11418</v>
      </c>
      <c r="B336" s="93">
        <f t="shared" si="26"/>
        <v>41419</v>
      </c>
      <c r="C336" s="145"/>
      <c r="D336" s="145"/>
      <c r="E336" s="139" t="s">
        <v>20</v>
      </c>
      <c r="F336" s="140"/>
      <c r="G336" s="139" t="s">
        <v>21</v>
      </c>
      <c r="H336" s="140"/>
      <c r="I336" s="148"/>
      <c r="J336" s="151"/>
      <c r="K336" s="111">
        <v>418</v>
      </c>
    </row>
    <row r="337" spans="1:11" ht="15" customHeight="1">
      <c r="A337" s="32" t="str">
        <f t="shared" si="25"/>
        <v>DM11419</v>
      </c>
      <c r="B337" s="93">
        <f t="shared" si="26"/>
        <v>41420</v>
      </c>
      <c r="C337" s="146"/>
      <c r="D337" s="146"/>
      <c r="E337" s="139" t="s">
        <v>22</v>
      </c>
      <c r="F337" s="140"/>
      <c r="G337" s="139" t="s">
        <v>23</v>
      </c>
      <c r="H337" s="140"/>
      <c r="I337" s="149"/>
      <c r="J337" s="152"/>
      <c r="K337" s="111">
        <v>419</v>
      </c>
    </row>
    <row r="338" spans="1:11" ht="15" customHeight="1">
      <c r="A338" s="32" t="str">
        <f t="shared" si="25"/>
        <v>DM11420</v>
      </c>
      <c r="B338" s="93">
        <f t="shared" si="26"/>
        <v>41421</v>
      </c>
      <c r="C338" s="144" t="s">
        <v>170</v>
      </c>
      <c r="D338" s="144" t="s">
        <v>81</v>
      </c>
      <c r="E338" s="139" t="s">
        <v>25</v>
      </c>
      <c r="F338" s="140"/>
      <c r="G338" s="139" t="s">
        <v>65</v>
      </c>
      <c r="H338" s="140"/>
      <c r="I338" s="147" t="s">
        <v>171</v>
      </c>
      <c r="J338" s="150" t="s">
        <v>64</v>
      </c>
      <c r="K338" s="111">
        <v>420</v>
      </c>
    </row>
    <row r="339" spans="1:11" ht="15" customHeight="1">
      <c r="A339" s="32" t="str">
        <f t="shared" si="25"/>
        <v>DM11421</v>
      </c>
      <c r="B339" s="93">
        <f t="shared" si="26"/>
        <v>41422</v>
      </c>
      <c r="C339" s="145"/>
      <c r="D339" s="145"/>
      <c r="E339" s="139" t="s">
        <v>26</v>
      </c>
      <c r="F339" s="140"/>
      <c r="G339" s="139" t="s">
        <v>27</v>
      </c>
      <c r="H339" s="140"/>
      <c r="I339" s="148"/>
      <c r="J339" s="151"/>
      <c r="K339" s="111">
        <v>421</v>
      </c>
    </row>
    <row r="340" spans="1:11" ht="15" customHeight="1">
      <c r="A340" s="32" t="str">
        <f t="shared" si="25"/>
        <v>DM11422</v>
      </c>
      <c r="B340" s="93">
        <f t="shared" si="26"/>
        <v>41423</v>
      </c>
      <c r="C340" s="145"/>
      <c r="D340" s="145"/>
      <c r="E340" s="139" t="s">
        <v>28</v>
      </c>
      <c r="F340" s="140"/>
      <c r="G340" s="139" t="s">
        <v>29</v>
      </c>
      <c r="H340" s="140"/>
      <c r="I340" s="148"/>
      <c r="J340" s="151"/>
      <c r="K340" s="111">
        <v>422</v>
      </c>
    </row>
    <row r="341" spans="1:11" ht="15" customHeight="1">
      <c r="A341" s="32" t="str">
        <f t="shared" si="25"/>
        <v>DM11423</v>
      </c>
      <c r="B341" s="93">
        <f t="shared" si="26"/>
        <v>41424</v>
      </c>
      <c r="C341" s="145"/>
      <c r="D341" s="145"/>
      <c r="E341" s="139" t="s">
        <v>30</v>
      </c>
      <c r="F341" s="140"/>
      <c r="G341" s="139" t="s">
        <v>31</v>
      </c>
      <c r="H341" s="140"/>
      <c r="I341" s="148"/>
      <c r="J341" s="151"/>
      <c r="K341" s="111">
        <v>423</v>
      </c>
    </row>
    <row r="342" spans="1:11">
      <c r="A342" s="32" t="str">
        <f t="shared" si="25"/>
        <v>DM11424</v>
      </c>
      <c r="B342" s="93">
        <f t="shared" si="26"/>
        <v>41425</v>
      </c>
      <c r="C342" s="145"/>
      <c r="D342" s="145"/>
      <c r="E342" s="139" t="s">
        <v>11</v>
      </c>
      <c r="F342" s="140"/>
      <c r="G342" s="139" t="s">
        <v>12</v>
      </c>
      <c r="H342" s="140"/>
      <c r="I342" s="148"/>
      <c r="J342" s="151"/>
      <c r="K342" s="111">
        <v>424</v>
      </c>
    </row>
    <row r="343" spans="1:11">
      <c r="A343" s="32" t="str">
        <f t="shared" si="25"/>
        <v>DM11425</v>
      </c>
      <c r="B343" s="93">
        <f t="shared" si="26"/>
        <v>41426</v>
      </c>
      <c r="C343" s="145"/>
      <c r="D343" s="145"/>
      <c r="E343" s="139" t="s">
        <v>13</v>
      </c>
      <c r="F343" s="140"/>
      <c r="G343" s="139" t="s">
        <v>14</v>
      </c>
      <c r="H343" s="140"/>
      <c r="I343" s="148"/>
      <c r="J343" s="151"/>
      <c r="K343" s="111">
        <v>425</v>
      </c>
    </row>
    <row r="344" spans="1:11">
      <c r="A344" s="32" t="str">
        <f t="shared" si="25"/>
        <v>DM11426</v>
      </c>
      <c r="B344" s="93">
        <f t="shared" si="26"/>
        <v>41427</v>
      </c>
      <c r="C344" s="145"/>
      <c r="D344" s="145"/>
      <c r="E344" s="139" t="s">
        <v>16</v>
      </c>
      <c r="F344" s="140"/>
      <c r="G344" s="139" t="s">
        <v>17</v>
      </c>
      <c r="H344" s="140"/>
      <c r="I344" s="148"/>
      <c r="J344" s="151"/>
      <c r="K344" s="111">
        <v>426</v>
      </c>
    </row>
    <row r="345" spans="1:11">
      <c r="A345" s="32" t="str">
        <f t="shared" si="25"/>
        <v>DM11427</v>
      </c>
      <c r="B345" s="93">
        <f t="shared" si="26"/>
        <v>41428</v>
      </c>
      <c r="C345" s="145"/>
      <c r="D345" s="145"/>
      <c r="E345" s="139" t="s">
        <v>18</v>
      </c>
      <c r="F345" s="140"/>
      <c r="G345" s="139" t="s">
        <v>19</v>
      </c>
      <c r="H345" s="140"/>
      <c r="I345" s="148"/>
      <c r="J345" s="151"/>
      <c r="K345" s="111">
        <v>427</v>
      </c>
    </row>
    <row r="346" spans="1:11">
      <c r="A346" s="32" t="str">
        <f t="shared" si="25"/>
        <v>DM11428</v>
      </c>
      <c r="B346" s="93">
        <f t="shared" si="26"/>
        <v>41429</v>
      </c>
      <c r="C346" s="145"/>
      <c r="D346" s="145"/>
      <c r="E346" s="139" t="s">
        <v>20</v>
      </c>
      <c r="F346" s="140"/>
      <c r="G346" s="139" t="s">
        <v>21</v>
      </c>
      <c r="H346" s="140"/>
      <c r="I346" s="148"/>
      <c r="J346" s="151"/>
      <c r="K346" s="111">
        <v>428</v>
      </c>
    </row>
    <row r="347" spans="1:11">
      <c r="A347" s="32" t="str">
        <f t="shared" si="25"/>
        <v>DM11429</v>
      </c>
      <c r="B347" s="93">
        <f t="shared" si="26"/>
        <v>41430</v>
      </c>
      <c r="C347" s="146"/>
      <c r="D347" s="146"/>
      <c r="E347" s="139" t="s">
        <v>22</v>
      </c>
      <c r="F347" s="140"/>
      <c r="G347" s="139" t="s">
        <v>23</v>
      </c>
      <c r="H347" s="140"/>
      <c r="I347" s="149"/>
      <c r="J347" s="152"/>
      <c r="K347" s="111">
        <v>429</v>
      </c>
    </row>
    <row r="348" spans="1:11" ht="30">
      <c r="A348" s="32" t="str">
        <f t="shared" si="25"/>
        <v>DM11430</v>
      </c>
      <c r="B348" s="93">
        <f t="shared" si="26"/>
        <v>41431</v>
      </c>
      <c r="C348" s="79" t="s">
        <v>172</v>
      </c>
      <c r="D348" s="68" t="s">
        <v>81</v>
      </c>
      <c r="E348" s="83" t="s">
        <v>38</v>
      </c>
      <c r="F348" s="83" t="s">
        <v>38</v>
      </c>
      <c r="G348" s="83" t="s">
        <v>38</v>
      </c>
      <c r="H348" s="83" t="s">
        <v>38</v>
      </c>
      <c r="I348" s="79" t="s">
        <v>174</v>
      </c>
      <c r="J348" s="79" t="s">
        <v>173</v>
      </c>
      <c r="K348" s="111">
        <v>430</v>
      </c>
    </row>
    <row r="349" spans="1:11">
      <c r="A349" s="32" t="str">
        <f t="shared" si="25"/>
        <v>DM11431</v>
      </c>
      <c r="B349" s="93">
        <f t="shared" si="26"/>
        <v>41432</v>
      </c>
      <c r="C349" s="35" t="s">
        <v>0</v>
      </c>
      <c r="D349" s="64"/>
      <c r="E349" s="47"/>
      <c r="F349" s="48"/>
      <c r="G349" s="48"/>
      <c r="H349" s="49"/>
      <c r="I349" s="34"/>
      <c r="J349" s="33"/>
      <c r="K349" s="111">
        <v>431</v>
      </c>
    </row>
    <row r="350" spans="1:11">
      <c r="A350" s="32" t="str">
        <f t="shared" ref="A350:A357" si="27">LEFT($D$3, 2) &amp; (MID($D$3, 3, LEN($D$3)) + K350)</f>
        <v>DM11432</v>
      </c>
      <c r="B350" s="93">
        <f t="shared" ref="B350:B357" si="28">$D$4+K350</f>
        <v>41433</v>
      </c>
      <c r="C350" s="35" t="s">
        <v>0</v>
      </c>
      <c r="D350" s="64"/>
      <c r="E350" s="47"/>
      <c r="F350" s="48"/>
      <c r="G350" s="48"/>
      <c r="H350" s="49"/>
      <c r="I350" s="34"/>
      <c r="J350" s="33"/>
      <c r="K350" s="111">
        <v>432</v>
      </c>
    </row>
    <row r="351" spans="1:11">
      <c r="A351" s="32" t="str">
        <f t="shared" si="27"/>
        <v>DM11433</v>
      </c>
      <c r="B351" s="93">
        <f t="shared" si="28"/>
        <v>41434</v>
      </c>
      <c r="C351" s="35" t="s">
        <v>0</v>
      </c>
      <c r="D351" s="64"/>
      <c r="E351" s="47"/>
      <c r="F351" s="48"/>
      <c r="G351" s="48"/>
      <c r="H351" s="49"/>
      <c r="I351" s="34"/>
      <c r="J351" s="33"/>
      <c r="K351" s="111">
        <v>433</v>
      </c>
    </row>
    <row r="352" spans="1:11">
      <c r="A352" s="32" t="str">
        <f t="shared" si="27"/>
        <v>DM11434</v>
      </c>
      <c r="B352" s="93">
        <f t="shared" si="28"/>
        <v>41435</v>
      </c>
      <c r="C352" s="35" t="s">
        <v>0</v>
      </c>
      <c r="D352" s="64"/>
      <c r="E352" s="47"/>
      <c r="F352" s="48"/>
      <c r="G352" s="48"/>
      <c r="H352" s="49"/>
      <c r="I352" s="34"/>
      <c r="J352" s="33"/>
      <c r="K352" s="111">
        <v>434</v>
      </c>
    </row>
    <row r="353" spans="1:11">
      <c r="A353" s="32" t="str">
        <f t="shared" si="27"/>
        <v>DM11435</v>
      </c>
      <c r="B353" s="93">
        <f t="shared" si="28"/>
        <v>41436</v>
      </c>
      <c r="C353" s="69" t="s">
        <v>114</v>
      </c>
      <c r="D353" s="68" t="s">
        <v>116</v>
      </c>
      <c r="E353" s="83">
        <v>0</v>
      </c>
      <c r="F353" s="83">
        <v>0</v>
      </c>
      <c r="G353" s="83">
        <v>0</v>
      </c>
      <c r="H353" s="68" t="s">
        <v>262</v>
      </c>
      <c r="I353" s="78" t="s">
        <v>159</v>
      </c>
      <c r="J353" s="79" t="s">
        <v>156</v>
      </c>
      <c r="K353" s="111">
        <v>435</v>
      </c>
    </row>
    <row r="354" spans="1:11" ht="15" customHeight="1">
      <c r="A354" s="32" t="str">
        <f t="shared" si="27"/>
        <v>DM11436</v>
      </c>
      <c r="B354" s="93">
        <f t="shared" si="28"/>
        <v>41437</v>
      </c>
      <c r="C354" s="94" t="s">
        <v>194</v>
      </c>
      <c r="D354" s="102" t="s">
        <v>116</v>
      </c>
      <c r="E354" s="61">
        <v>0</v>
      </c>
      <c r="F354" s="61">
        <v>0</v>
      </c>
      <c r="G354" s="99" t="s">
        <v>198</v>
      </c>
      <c r="H354" s="99" t="s">
        <v>198</v>
      </c>
      <c r="I354" s="100" t="s">
        <v>199</v>
      </c>
      <c r="J354" s="101" t="s">
        <v>200</v>
      </c>
      <c r="K354" s="111">
        <v>436</v>
      </c>
    </row>
    <row r="355" spans="1:11" ht="15" customHeight="1">
      <c r="A355" s="32" t="str">
        <f t="shared" si="27"/>
        <v>DM11437</v>
      </c>
      <c r="B355" s="93">
        <f t="shared" si="28"/>
        <v>41438</v>
      </c>
      <c r="C355" s="35" t="s">
        <v>0</v>
      </c>
      <c r="D355" s="64"/>
      <c r="E355" s="47"/>
      <c r="F355" s="48"/>
      <c r="G355" s="48"/>
      <c r="H355" s="49"/>
      <c r="I355" s="34"/>
      <c r="J355" s="33"/>
      <c r="K355" s="111">
        <v>437</v>
      </c>
    </row>
    <row r="356" spans="1:11" ht="15" customHeight="1">
      <c r="A356" s="32" t="str">
        <f t="shared" si="27"/>
        <v>DM11438</v>
      </c>
      <c r="B356" s="93">
        <f t="shared" si="28"/>
        <v>41439</v>
      </c>
      <c r="C356" s="35" t="s">
        <v>0</v>
      </c>
      <c r="D356" s="64"/>
      <c r="E356" s="47"/>
      <c r="F356" s="48"/>
      <c r="G356" s="48"/>
      <c r="H356" s="49"/>
      <c r="I356" s="34"/>
      <c r="J356" s="33"/>
      <c r="K356" s="111">
        <v>438</v>
      </c>
    </row>
    <row r="357" spans="1:11" ht="15" customHeight="1" thickBot="1">
      <c r="A357" s="32" t="str">
        <f t="shared" si="27"/>
        <v>DM11439</v>
      </c>
      <c r="B357" s="93">
        <f t="shared" si="28"/>
        <v>41440</v>
      </c>
      <c r="C357" s="35" t="s">
        <v>0</v>
      </c>
      <c r="D357" s="64"/>
      <c r="E357" s="47"/>
      <c r="F357" s="48"/>
      <c r="G357" s="48"/>
      <c r="H357" s="49"/>
      <c r="I357" s="34"/>
      <c r="J357" s="33"/>
      <c r="K357" s="111">
        <v>439</v>
      </c>
    </row>
    <row r="358" spans="1:11" ht="15.6" customHeight="1">
      <c r="A358" s="141" t="s">
        <v>177</v>
      </c>
      <c r="B358" s="142"/>
      <c r="C358" s="142"/>
      <c r="D358" s="142"/>
      <c r="E358" s="142"/>
      <c r="F358" s="142"/>
      <c r="G358" s="142"/>
      <c r="H358" s="142"/>
      <c r="I358" s="142"/>
      <c r="J358" s="143"/>
      <c r="K358" s="111"/>
    </row>
    <row r="359" spans="1:11" ht="15" customHeight="1">
      <c r="A359" s="32" t="str">
        <f t="shared" ref="A359:A388" si="29">LEFT($D$3, 2) &amp; (MID($D$3, 3, LEN($D$3)) + K359)</f>
        <v>DM11440</v>
      </c>
      <c r="B359" s="93">
        <f t="shared" ref="B359:B388" si="30">$D$4+K359</f>
        <v>41441</v>
      </c>
      <c r="C359" s="169" t="s">
        <v>59</v>
      </c>
      <c r="D359" s="169" t="s">
        <v>116</v>
      </c>
      <c r="E359" s="170" t="s">
        <v>25</v>
      </c>
      <c r="F359" s="170"/>
      <c r="G359" s="170" t="s">
        <v>65</v>
      </c>
      <c r="H359" s="170"/>
      <c r="I359" s="171" t="s">
        <v>60</v>
      </c>
      <c r="J359" s="172" t="s">
        <v>82</v>
      </c>
      <c r="K359" s="111">
        <v>440</v>
      </c>
    </row>
    <row r="360" spans="1:11" ht="15" customHeight="1">
      <c r="A360" s="32" t="str">
        <f t="shared" si="29"/>
        <v>DM11441</v>
      </c>
      <c r="B360" s="93">
        <f t="shared" si="30"/>
        <v>41442</v>
      </c>
      <c r="C360" s="169"/>
      <c r="D360" s="169"/>
      <c r="E360" s="170" t="s">
        <v>26</v>
      </c>
      <c r="F360" s="170"/>
      <c r="G360" s="170" t="s">
        <v>27</v>
      </c>
      <c r="H360" s="170"/>
      <c r="I360" s="171"/>
      <c r="J360" s="172"/>
      <c r="K360" s="111">
        <v>441</v>
      </c>
    </row>
    <row r="361" spans="1:11" ht="15" customHeight="1">
      <c r="A361" s="32" t="str">
        <f t="shared" si="29"/>
        <v>DM11442</v>
      </c>
      <c r="B361" s="93">
        <f t="shared" si="30"/>
        <v>41443</v>
      </c>
      <c r="C361" s="169"/>
      <c r="D361" s="169"/>
      <c r="E361" s="170" t="s">
        <v>28</v>
      </c>
      <c r="F361" s="170"/>
      <c r="G361" s="170" t="s">
        <v>29</v>
      </c>
      <c r="H361" s="170"/>
      <c r="I361" s="171"/>
      <c r="J361" s="172"/>
      <c r="K361" s="111">
        <v>442</v>
      </c>
    </row>
    <row r="362" spans="1:11">
      <c r="A362" s="32" t="str">
        <f t="shared" si="29"/>
        <v>DM11443</v>
      </c>
      <c r="B362" s="93">
        <f t="shared" si="30"/>
        <v>41444</v>
      </c>
      <c r="C362" s="144" t="s">
        <v>61</v>
      </c>
      <c r="D362" s="144" t="s">
        <v>116</v>
      </c>
      <c r="E362" s="165" t="s">
        <v>67</v>
      </c>
      <c r="F362" s="166"/>
      <c r="G362" s="167" t="s">
        <v>66</v>
      </c>
      <c r="H362" s="168"/>
      <c r="I362" s="147" t="s">
        <v>62</v>
      </c>
      <c r="J362" s="150" t="s">
        <v>63</v>
      </c>
      <c r="K362" s="111">
        <v>443</v>
      </c>
    </row>
    <row r="363" spans="1:11">
      <c r="A363" s="32" t="str">
        <f t="shared" si="29"/>
        <v>DM11444</v>
      </c>
      <c r="B363" s="93">
        <f t="shared" si="30"/>
        <v>41445</v>
      </c>
      <c r="C363" s="145"/>
      <c r="D363" s="145"/>
      <c r="E363" s="165" t="s">
        <v>69</v>
      </c>
      <c r="F363" s="166"/>
      <c r="G363" s="167" t="s">
        <v>68</v>
      </c>
      <c r="H363" s="168"/>
      <c r="I363" s="148"/>
      <c r="J363" s="151"/>
      <c r="K363" s="111">
        <v>444</v>
      </c>
    </row>
    <row r="364" spans="1:11">
      <c r="A364" s="32" t="str">
        <f t="shared" si="29"/>
        <v>DM11445</v>
      </c>
      <c r="B364" s="93">
        <f t="shared" si="30"/>
        <v>41446</v>
      </c>
      <c r="C364" s="145"/>
      <c r="D364" s="145"/>
      <c r="E364" s="165" t="s">
        <v>71</v>
      </c>
      <c r="F364" s="166"/>
      <c r="G364" s="167" t="s">
        <v>70</v>
      </c>
      <c r="H364" s="168"/>
      <c r="I364" s="148"/>
      <c r="J364" s="151"/>
      <c r="K364" s="111">
        <v>445</v>
      </c>
    </row>
    <row r="365" spans="1:11">
      <c r="A365" s="32" t="str">
        <f t="shared" si="29"/>
        <v>DM11446</v>
      </c>
      <c r="B365" s="93">
        <f t="shared" si="30"/>
        <v>41447</v>
      </c>
      <c r="C365" s="145"/>
      <c r="D365" s="145"/>
      <c r="E365" s="165" t="s">
        <v>73</v>
      </c>
      <c r="F365" s="166"/>
      <c r="G365" s="167" t="s">
        <v>72</v>
      </c>
      <c r="H365" s="168"/>
      <c r="I365" s="148"/>
      <c r="J365" s="151"/>
      <c r="K365" s="111">
        <v>446</v>
      </c>
    </row>
    <row r="366" spans="1:11">
      <c r="A366" s="32" t="str">
        <f t="shared" si="29"/>
        <v>DM11447</v>
      </c>
      <c r="B366" s="93">
        <f t="shared" si="30"/>
        <v>41448</v>
      </c>
      <c r="C366" s="145"/>
      <c r="D366" s="145"/>
      <c r="E366" s="165" t="s">
        <v>77</v>
      </c>
      <c r="F366" s="166"/>
      <c r="G366" s="167" t="s">
        <v>74</v>
      </c>
      <c r="H366" s="168"/>
      <c r="I366" s="148"/>
      <c r="J366" s="151"/>
      <c r="K366" s="111">
        <v>447</v>
      </c>
    </row>
    <row r="367" spans="1:11">
      <c r="A367" s="32" t="str">
        <f t="shared" si="29"/>
        <v>DM11448</v>
      </c>
      <c r="B367" s="93">
        <f t="shared" si="30"/>
        <v>41449</v>
      </c>
      <c r="C367" s="145"/>
      <c r="D367" s="145"/>
      <c r="E367" s="165" t="s">
        <v>78</v>
      </c>
      <c r="F367" s="166"/>
      <c r="G367" s="167" t="s">
        <v>75</v>
      </c>
      <c r="H367" s="168"/>
      <c r="I367" s="148"/>
      <c r="J367" s="151"/>
      <c r="K367" s="111">
        <v>448</v>
      </c>
    </row>
    <row r="368" spans="1:11">
      <c r="A368" s="32" t="str">
        <f t="shared" si="29"/>
        <v>DM11449</v>
      </c>
      <c r="B368" s="93">
        <f t="shared" si="30"/>
        <v>41450</v>
      </c>
      <c r="C368" s="146"/>
      <c r="D368" s="146"/>
      <c r="E368" s="165" t="s">
        <v>79</v>
      </c>
      <c r="F368" s="166"/>
      <c r="G368" s="167" t="s">
        <v>76</v>
      </c>
      <c r="H368" s="168"/>
      <c r="I368" s="149"/>
      <c r="J368" s="152"/>
      <c r="K368" s="111">
        <v>449</v>
      </c>
    </row>
    <row r="369" spans="1:11" ht="15" customHeight="1">
      <c r="A369" s="32" t="str">
        <f t="shared" si="29"/>
        <v>DM11450</v>
      </c>
      <c r="B369" s="93">
        <f t="shared" si="30"/>
        <v>41451</v>
      </c>
      <c r="C369" s="113" t="s">
        <v>220</v>
      </c>
      <c r="D369" s="115" t="s">
        <v>116</v>
      </c>
      <c r="E369" s="83" t="s">
        <v>38</v>
      </c>
      <c r="F369" s="83" t="s">
        <v>38</v>
      </c>
      <c r="G369" s="83" t="s">
        <v>38</v>
      </c>
      <c r="H369" s="83" t="s">
        <v>38</v>
      </c>
      <c r="I369" s="116" t="s">
        <v>223</v>
      </c>
      <c r="J369" s="117" t="s">
        <v>173</v>
      </c>
      <c r="K369" s="111">
        <v>450</v>
      </c>
    </row>
    <row r="370" spans="1:11" ht="15" customHeight="1">
      <c r="A370" s="32" t="str">
        <f t="shared" si="29"/>
        <v>DM11451</v>
      </c>
      <c r="B370" s="93">
        <f t="shared" si="30"/>
        <v>41452</v>
      </c>
      <c r="C370" s="113" t="s">
        <v>221</v>
      </c>
      <c r="D370" s="115" t="s">
        <v>116</v>
      </c>
      <c r="E370" s="83" t="s">
        <v>38</v>
      </c>
      <c r="F370" s="83" t="s">
        <v>38</v>
      </c>
      <c r="G370" s="83" t="s">
        <v>38</v>
      </c>
      <c r="H370" s="83" t="s">
        <v>38</v>
      </c>
      <c r="I370" s="116" t="s">
        <v>224</v>
      </c>
      <c r="J370" s="117" t="s">
        <v>173</v>
      </c>
      <c r="K370" s="111">
        <v>451</v>
      </c>
    </row>
    <row r="371" spans="1:11" ht="15" customHeight="1">
      <c r="A371" s="32" t="str">
        <f t="shared" si="29"/>
        <v>DM11452</v>
      </c>
      <c r="B371" s="93">
        <f t="shared" si="30"/>
        <v>41453</v>
      </c>
      <c r="C371" s="113" t="s">
        <v>222</v>
      </c>
      <c r="D371" s="115" t="s">
        <v>116</v>
      </c>
      <c r="E371" s="83" t="s">
        <v>38</v>
      </c>
      <c r="F371" s="83" t="s">
        <v>38</v>
      </c>
      <c r="G371" s="83" t="s">
        <v>38</v>
      </c>
      <c r="H371" s="83" t="s">
        <v>38</v>
      </c>
      <c r="I371" s="116" t="s">
        <v>225</v>
      </c>
      <c r="J371" s="117" t="s">
        <v>173</v>
      </c>
      <c r="K371" s="111">
        <v>452</v>
      </c>
    </row>
    <row r="372" spans="1:11" ht="15" customHeight="1">
      <c r="A372" s="32" t="str">
        <f t="shared" si="29"/>
        <v>DM11453</v>
      </c>
      <c r="B372" s="93">
        <f t="shared" si="30"/>
        <v>41454</v>
      </c>
      <c r="C372" s="35" t="s">
        <v>0</v>
      </c>
      <c r="D372" s="64"/>
      <c r="E372" s="47"/>
      <c r="F372" s="48"/>
      <c r="G372" s="48"/>
      <c r="H372" s="49"/>
      <c r="I372" s="34"/>
      <c r="J372" s="33"/>
      <c r="K372" s="111">
        <v>453</v>
      </c>
    </row>
    <row r="373" spans="1:11" ht="15" customHeight="1">
      <c r="A373" s="32" t="str">
        <f t="shared" si="29"/>
        <v>DM11454</v>
      </c>
      <c r="B373" s="93">
        <f t="shared" si="30"/>
        <v>41455</v>
      </c>
      <c r="C373" s="35" t="s">
        <v>0</v>
      </c>
      <c r="D373" s="64"/>
      <c r="E373" s="47"/>
      <c r="F373" s="48"/>
      <c r="G373" s="48"/>
      <c r="H373" s="49"/>
      <c r="I373" s="34"/>
      <c r="J373" s="33"/>
      <c r="K373" s="111">
        <v>454</v>
      </c>
    </row>
    <row r="374" spans="1:11" ht="15" customHeight="1">
      <c r="A374" s="32" t="str">
        <f t="shared" si="29"/>
        <v>DM11455</v>
      </c>
      <c r="B374" s="93">
        <f t="shared" si="30"/>
        <v>41456</v>
      </c>
      <c r="C374" s="35" t="s">
        <v>0</v>
      </c>
      <c r="D374" s="64"/>
      <c r="E374" s="47"/>
      <c r="F374" s="48"/>
      <c r="G374" s="48"/>
      <c r="H374" s="49"/>
      <c r="I374" s="34"/>
      <c r="J374" s="33"/>
      <c r="K374" s="111">
        <v>455</v>
      </c>
    </row>
    <row r="375" spans="1:11" ht="15" customHeight="1">
      <c r="A375" s="32" t="str">
        <f t="shared" si="29"/>
        <v>DM11456</v>
      </c>
      <c r="B375" s="93">
        <f t="shared" si="30"/>
        <v>41457</v>
      </c>
      <c r="C375" s="35" t="s">
        <v>0</v>
      </c>
      <c r="D375" s="64"/>
      <c r="E375" s="47"/>
      <c r="F375" s="48"/>
      <c r="G375" s="48"/>
      <c r="H375" s="49"/>
      <c r="I375" s="34"/>
      <c r="J375" s="33"/>
      <c r="K375" s="111">
        <v>456</v>
      </c>
    </row>
    <row r="376" spans="1:11" ht="15" customHeight="1">
      <c r="A376" s="32" t="str">
        <f t="shared" si="29"/>
        <v>DM11457</v>
      </c>
      <c r="B376" s="93">
        <f t="shared" si="30"/>
        <v>41458</v>
      </c>
      <c r="C376" s="35" t="s">
        <v>0</v>
      </c>
      <c r="D376" s="64"/>
      <c r="E376" s="47"/>
      <c r="F376" s="48"/>
      <c r="G376" s="48"/>
      <c r="H376" s="49"/>
      <c r="I376" s="34"/>
      <c r="J376" s="33"/>
      <c r="K376" s="111">
        <v>457</v>
      </c>
    </row>
    <row r="377" spans="1:11" ht="15" customHeight="1">
      <c r="A377" s="32" t="str">
        <f t="shared" si="29"/>
        <v>DM11458</v>
      </c>
      <c r="B377" s="93">
        <f t="shared" si="30"/>
        <v>41459</v>
      </c>
      <c r="C377" s="35" t="s">
        <v>0</v>
      </c>
      <c r="D377" s="64"/>
      <c r="E377" s="47"/>
      <c r="F377" s="48"/>
      <c r="G377" s="48"/>
      <c r="H377" s="49"/>
      <c r="I377" s="34"/>
      <c r="J377" s="33"/>
      <c r="K377" s="111">
        <v>458</v>
      </c>
    </row>
    <row r="378" spans="1:11" ht="15" customHeight="1">
      <c r="A378" s="32" t="str">
        <f t="shared" si="29"/>
        <v>DM11459</v>
      </c>
      <c r="B378" s="93">
        <f t="shared" si="30"/>
        <v>41460</v>
      </c>
      <c r="C378" s="35" t="s">
        <v>0</v>
      </c>
      <c r="D378" s="64"/>
      <c r="E378" s="47"/>
      <c r="F378" s="48"/>
      <c r="G378" s="48"/>
      <c r="H378" s="49"/>
      <c r="I378" s="34"/>
      <c r="J378" s="33"/>
      <c r="K378" s="111">
        <v>459</v>
      </c>
    </row>
    <row r="379" spans="1:11" ht="15" customHeight="1">
      <c r="A379" s="32" t="str">
        <f t="shared" si="29"/>
        <v>DM11460</v>
      </c>
      <c r="B379" s="93">
        <f t="shared" si="30"/>
        <v>41461</v>
      </c>
      <c r="C379" s="35" t="s">
        <v>0</v>
      </c>
      <c r="D379" s="64"/>
      <c r="E379" s="47"/>
      <c r="F379" s="48"/>
      <c r="G379" s="48"/>
      <c r="H379" s="49"/>
      <c r="I379" s="34"/>
      <c r="J379" s="33"/>
      <c r="K379" s="111">
        <v>460</v>
      </c>
    </row>
    <row r="380" spans="1:11" ht="15" customHeight="1">
      <c r="A380" s="32" t="str">
        <f t="shared" si="29"/>
        <v>DM11461</v>
      </c>
      <c r="B380" s="93">
        <f t="shared" si="30"/>
        <v>41462</v>
      </c>
      <c r="C380" s="35" t="s">
        <v>0</v>
      </c>
      <c r="D380" s="64"/>
      <c r="E380" s="47"/>
      <c r="F380" s="48"/>
      <c r="G380" s="48"/>
      <c r="H380" s="49"/>
      <c r="I380" s="34"/>
      <c r="J380" s="33"/>
      <c r="K380" s="111">
        <v>461</v>
      </c>
    </row>
    <row r="381" spans="1:11" ht="15" customHeight="1">
      <c r="A381" s="32" t="str">
        <f t="shared" si="29"/>
        <v>DM11462</v>
      </c>
      <c r="B381" s="93">
        <f t="shared" si="30"/>
        <v>41463</v>
      </c>
      <c r="C381" s="35" t="s">
        <v>0</v>
      </c>
      <c r="D381" s="64"/>
      <c r="E381" s="47"/>
      <c r="F381" s="48"/>
      <c r="G381" s="48"/>
      <c r="H381" s="49"/>
      <c r="I381" s="34"/>
      <c r="J381" s="33"/>
      <c r="K381" s="111">
        <v>462</v>
      </c>
    </row>
    <row r="382" spans="1:11" ht="15" customHeight="1">
      <c r="A382" s="32" t="str">
        <f t="shared" si="29"/>
        <v>DM11463</v>
      </c>
      <c r="B382" s="93">
        <f t="shared" si="30"/>
        <v>41464</v>
      </c>
      <c r="C382" s="35" t="s">
        <v>0</v>
      </c>
      <c r="D382" s="64"/>
      <c r="E382" s="47"/>
      <c r="F382" s="48"/>
      <c r="G382" s="48"/>
      <c r="H382" s="49"/>
      <c r="I382" s="34"/>
      <c r="J382" s="33"/>
      <c r="K382" s="111">
        <v>463</v>
      </c>
    </row>
    <row r="383" spans="1:11" ht="15" customHeight="1">
      <c r="A383" s="32" t="str">
        <f t="shared" si="29"/>
        <v>DM11464</v>
      </c>
      <c r="B383" s="93">
        <f t="shared" si="30"/>
        <v>41465</v>
      </c>
      <c r="C383" s="35" t="s">
        <v>0</v>
      </c>
      <c r="D383" s="64"/>
      <c r="E383" s="47"/>
      <c r="F383" s="48"/>
      <c r="G383" s="48"/>
      <c r="H383" s="49"/>
      <c r="I383" s="34"/>
      <c r="J383" s="33"/>
      <c r="K383" s="111">
        <v>464</v>
      </c>
    </row>
    <row r="384" spans="1:11" ht="15" customHeight="1">
      <c r="A384" s="32" t="str">
        <f t="shared" si="29"/>
        <v>DM11465</v>
      </c>
      <c r="B384" s="93">
        <f t="shared" si="30"/>
        <v>41466</v>
      </c>
      <c r="C384" s="35" t="s">
        <v>0</v>
      </c>
      <c r="D384" s="64"/>
      <c r="E384" s="47"/>
      <c r="F384" s="48"/>
      <c r="G384" s="48"/>
      <c r="H384" s="49"/>
      <c r="I384" s="34"/>
      <c r="J384" s="33"/>
      <c r="K384" s="111">
        <v>465</v>
      </c>
    </row>
    <row r="385" spans="1:11" ht="15" customHeight="1">
      <c r="A385" s="32" t="str">
        <f t="shared" si="29"/>
        <v>DM11466</v>
      </c>
      <c r="B385" s="93">
        <f t="shared" si="30"/>
        <v>41467</v>
      </c>
      <c r="C385" s="35" t="s">
        <v>0</v>
      </c>
      <c r="D385" s="64"/>
      <c r="E385" s="47"/>
      <c r="F385" s="48"/>
      <c r="G385" s="48"/>
      <c r="H385" s="49"/>
      <c r="I385" s="34"/>
      <c r="J385" s="33"/>
      <c r="K385" s="111">
        <v>466</v>
      </c>
    </row>
    <row r="386" spans="1:11" ht="15" customHeight="1">
      <c r="A386" s="32" t="str">
        <f t="shared" si="29"/>
        <v>DM11467</v>
      </c>
      <c r="B386" s="93">
        <f t="shared" si="30"/>
        <v>41468</v>
      </c>
      <c r="C386" s="35" t="s">
        <v>0</v>
      </c>
      <c r="D386" s="64"/>
      <c r="E386" s="47"/>
      <c r="F386" s="48"/>
      <c r="G386" s="48"/>
      <c r="H386" s="49"/>
      <c r="I386" s="34"/>
      <c r="J386" s="33"/>
      <c r="K386" s="111">
        <v>467</v>
      </c>
    </row>
    <row r="387" spans="1:11" ht="15" customHeight="1">
      <c r="A387" s="32" t="str">
        <f t="shared" si="29"/>
        <v>DM11468</v>
      </c>
      <c r="B387" s="93">
        <f t="shared" si="30"/>
        <v>41469</v>
      </c>
      <c r="C387" s="35" t="s">
        <v>0</v>
      </c>
      <c r="D387" s="64"/>
      <c r="E387" s="47"/>
      <c r="F387" s="48"/>
      <c r="G387" s="48"/>
      <c r="H387" s="49"/>
      <c r="I387" s="34"/>
      <c r="J387" s="33"/>
      <c r="K387" s="111">
        <v>468</v>
      </c>
    </row>
    <row r="388" spans="1:11" ht="15" customHeight="1">
      <c r="A388" s="32" t="str">
        <f t="shared" si="29"/>
        <v>DM11469</v>
      </c>
      <c r="B388" s="93">
        <f t="shared" si="30"/>
        <v>41470</v>
      </c>
      <c r="C388" s="35" t="s">
        <v>0</v>
      </c>
      <c r="D388" s="64"/>
      <c r="E388" s="47"/>
      <c r="F388" s="48"/>
      <c r="G388" s="48"/>
      <c r="H388" s="49"/>
      <c r="I388" s="34"/>
      <c r="J388" s="33"/>
      <c r="K388" s="111">
        <v>469</v>
      </c>
    </row>
    <row r="389" spans="1:11">
      <c r="A389" s="32" t="str">
        <f t="shared" ref="A389:A398" si="31">LEFT($D$3, 2) &amp; (MID($D$3, 3, LEN($D$3)) + K389)</f>
        <v>DM11470</v>
      </c>
      <c r="B389" s="93">
        <f t="shared" ref="B389:B398" si="32">$D$4+K389</f>
        <v>41471</v>
      </c>
      <c r="C389" s="35" t="s">
        <v>0</v>
      </c>
      <c r="D389" s="64"/>
      <c r="E389" s="47"/>
      <c r="F389" s="48"/>
      <c r="G389" s="48"/>
      <c r="H389" s="49"/>
      <c r="I389" s="34"/>
      <c r="J389" s="33"/>
      <c r="K389" s="111">
        <v>470</v>
      </c>
    </row>
    <row r="390" spans="1:11">
      <c r="A390" s="32" t="str">
        <f t="shared" si="31"/>
        <v>DM11471</v>
      </c>
      <c r="B390" s="93">
        <f t="shared" si="32"/>
        <v>41472</v>
      </c>
      <c r="C390" s="35" t="s">
        <v>0</v>
      </c>
      <c r="D390" s="64"/>
      <c r="E390" s="47"/>
      <c r="F390" s="48"/>
      <c r="G390" s="48"/>
      <c r="H390" s="49"/>
      <c r="I390" s="34"/>
      <c r="J390" s="33"/>
      <c r="K390" s="111">
        <v>471</v>
      </c>
    </row>
    <row r="391" spans="1:11">
      <c r="A391" s="32" t="str">
        <f t="shared" si="31"/>
        <v>DM11472</v>
      </c>
      <c r="B391" s="93">
        <f t="shared" si="32"/>
        <v>41473</v>
      </c>
      <c r="C391" s="35" t="s">
        <v>0</v>
      </c>
      <c r="D391" s="64"/>
      <c r="E391" s="47"/>
      <c r="F391" s="48"/>
      <c r="G391" s="48"/>
      <c r="H391" s="49"/>
      <c r="I391" s="34"/>
      <c r="J391" s="33"/>
      <c r="K391" s="111">
        <v>472</v>
      </c>
    </row>
    <row r="392" spans="1:11">
      <c r="A392" s="32" t="str">
        <f t="shared" si="31"/>
        <v>DM11473</v>
      </c>
      <c r="B392" s="93">
        <f t="shared" si="32"/>
        <v>41474</v>
      </c>
      <c r="C392" s="35" t="s">
        <v>0</v>
      </c>
      <c r="D392" s="64"/>
      <c r="E392" s="47"/>
      <c r="F392" s="48"/>
      <c r="G392" s="48"/>
      <c r="H392" s="49"/>
      <c r="I392" s="34"/>
      <c r="J392" s="33"/>
      <c r="K392" s="111">
        <v>473</v>
      </c>
    </row>
    <row r="393" spans="1:11">
      <c r="A393" s="32" t="str">
        <f t="shared" si="31"/>
        <v>DM11474</v>
      </c>
      <c r="B393" s="93">
        <f t="shared" si="32"/>
        <v>41475</v>
      </c>
      <c r="C393" s="69" t="s">
        <v>114</v>
      </c>
      <c r="D393" s="68" t="s">
        <v>81</v>
      </c>
      <c r="E393" s="83">
        <v>0</v>
      </c>
      <c r="F393" s="83">
        <v>0</v>
      </c>
      <c r="G393" s="83">
        <v>0</v>
      </c>
      <c r="H393" s="68" t="s">
        <v>262</v>
      </c>
      <c r="I393" s="78" t="s">
        <v>159</v>
      </c>
      <c r="J393" s="79" t="s">
        <v>156</v>
      </c>
      <c r="K393" s="111">
        <v>474</v>
      </c>
    </row>
    <row r="394" spans="1:11" ht="21.95" customHeight="1">
      <c r="A394" s="32" t="str">
        <f t="shared" si="31"/>
        <v>DM11475</v>
      </c>
      <c r="B394" s="93">
        <f t="shared" si="32"/>
        <v>41476</v>
      </c>
      <c r="C394" s="94" t="s">
        <v>194</v>
      </c>
      <c r="D394" s="102" t="s">
        <v>116</v>
      </c>
      <c r="E394" s="61">
        <v>0</v>
      </c>
      <c r="F394" s="61">
        <v>0</v>
      </c>
      <c r="G394" s="99" t="s">
        <v>198</v>
      </c>
      <c r="H394" s="99" t="s">
        <v>198</v>
      </c>
      <c r="I394" s="100" t="s">
        <v>199</v>
      </c>
      <c r="J394" s="101" t="s">
        <v>200</v>
      </c>
      <c r="K394" s="111">
        <v>475</v>
      </c>
    </row>
    <row r="395" spans="1:11">
      <c r="A395" s="32" t="str">
        <f t="shared" si="31"/>
        <v>DM11476</v>
      </c>
      <c r="B395" s="93">
        <f t="shared" si="32"/>
        <v>41477</v>
      </c>
      <c r="C395" s="35" t="s">
        <v>0</v>
      </c>
      <c r="D395" s="64"/>
      <c r="E395" s="47"/>
      <c r="F395" s="48"/>
      <c r="G395" s="48"/>
      <c r="H395" s="49"/>
      <c r="I395" s="34"/>
      <c r="J395" s="33"/>
      <c r="K395" s="111">
        <v>476</v>
      </c>
    </row>
    <row r="396" spans="1:11">
      <c r="A396" s="32" t="str">
        <f t="shared" si="31"/>
        <v>DM11477</v>
      </c>
      <c r="B396" s="93">
        <f t="shared" si="32"/>
        <v>41478</v>
      </c>
      <c r="C396" s="35" t="s">
        <v>0</v>
      </c>
      <c r="D396" s="64"/>
      <c r="E396" s="47"/>
      <c r="F396" s="48"/>
      <c r="G396" s="48"/>
      <c r="H396" s="49"/>
      <c r="I396" s="34"/>
      <c r="J396" s="33"/>
      <c r="K396" s="111">
        <v>477</v>
      </c>
    </row>
    <row r="397" spans="1:11">
      <c r="A397" s="32" t="str">
        <f t="shared" si="31"/>
        <v>DM11478</v>
      </c>
      <c r="B397" s="93">
        <f t="shared" si="32"/>
        <v>41479</v>
      </c>
      <c r="C397" s="35" t="s">
        <v>0</v>
      </c>
      <c r="D397" s="64"/>
      <c r="E397" s="47"/>
      <c r="F397" s="48"/>
      <c r="G397" s="48"/>
      <c r="H397" s="49"/>
      <c r="I397" s="34"/>
      <c r="J397" s="33"/>
      <c r="K397" s="111">
        <v>478</v>
      </c>
    </row>
    <row r="398" spans="1:11">
      <c r="A398" s="32" t="str">
        <f t="shared" si="31"/>
        <v>DM11479</v>
      </c>
      <c r="B398" s="93">
        <f t="shared" si="32"/>
        <v>41480</v>
      </c>
      <c r="C398" s="35" t="s">
        <v>0</v>
      </c>
      <c r="D398" s="35"/>
      <c r="E398" s="97"/>
      <c r="F398" s="98"/>
      <c r="G398" s="98"/>
      <c r="H398" s="112"/>
      <c r="I398" s="34"/>
      <c r="J398" s="33"/>
      <c r="K398" s="111">
        <v>479</v>
      </c>
    </row>
  </sheetData>
  <mergeCells count="644">
    <mergeCell ref="C362:C368"/>
    <mergeCell ref="D362:D368"/>
    <mergeCell ref="E362:F362"/>
    <mergeCell ref="G362:H362"/>
    <mergeCell ref="I362:I368"/>
    <mergeCell ref="J362:J368"/>
    <mergeCell ref="E363:F363"/>
    <mergeCell ref="G363:H363"/>
    <mergeCell ref="E364:F364"/>
    <mergeCell ref="G364:H364"/>
    <mergeCell ref="E365:F365"/>
    <mergeCell ref="G365:H365"/>
    <mergeCell ref="E366:F366"/>
    <mergeCell ref="G366:H366"/>
    <mergeCell ref="E367:F367"/>
    <mergeCell ref="G367:H367"/>
    <mergeCell ref="E368:F368"/>
    <mergeCell ref="G368:H368"/>
    <mergeCell ref="G347:H347"/>
    <mergeCell ref="C359:C361"/>
    <mergeCell ref="D359:D361"/>
    <mergeCell ref="E359:F359"/>
    <mergeCell ref="G359:H359"/>
    <mergeCell ref="I359:I361"/>
    <mergeCell ref="J359:J361"/>
    <mergeCell ref="E360:F360"/>
    <mergeCell ref="G360:H360"/>
    <mergeCell ref="E361:F361"/>
    <mergeCell ref="G361:H361"/>
    <mergeCell ref="A358:J358"/>
    <mergeCell ref="G337:H337"/>
    <mergeCell ref="C338:C347"/>
    <mergeCell ref="D338:D347"/>
    <mergeCell ref="E338:F338"/>
    <mergeCell ref="G338:H338"/>
    <mergeCell ref="I338:I347"/>
    <mergeCell ref="J338:J347"/>
    <mergeCell ref="E339:F339"/>
    <mergeCell ref="G339:H339"/>
    <mergeCell ref="E340:F340"/>
    <mergeCell ref="G340:H340"/>
    <mergeCell ref="E341:F341"/>
    <mergeCell ref="G341:H341"/>
    <mergeCell ref="E342:F342"/>
    <mergeCell ref="G342:H342"/>
    <mergeCell ref="E343:F343"/>
    <mergeCell ref="G343:H343"/>
    <mergeCell ref="E344:F344"/>
    <mergeCell ref="G344:H344"/>
    <mergeCell ref="E345:F345"/>
    <mergeCell ref="G345:H345"/>
    <mergeCell ref="E346:F346"/>
    <mergeCell ref="G346:H346"/>
    <mergeCell ref="E347:F347"/>
    <mergeCell ref="A317:J317"/>
    <mergeCell ref="C328:C337"/>
    <mergeCell ref="D328:D337"/>
    <mergeCell ref="E328:F328"/>
    <mergeCell ref="G328:H328"/>
    <mergeCell ref="E333:F333"/>
    <mergeCell ref="G333:H333"/>
    <mergeCell ref="E334:F334"/>
    <mergeCell ref="I328:I337"/>
    <mergeCell ref="J328:J337"/>
    <mergeCell ref="E329:F329"/>
    <mergeCell ref="G329:H329"/>
    <mergeCell ref="E330:F330"/>
    <mergeCell ref="G330:H330"/>
    <mergeCell ref="E331:F331"/>
    <mergeCell ref="G331:H331"/>
    <mergeCell ref="E332:F332"/>
    <mergeCell ref="G332:H332"/>
    <mergeCell ref="G334:H334"/>
    <mergeCell ref="E335:F335"/>
    <mergeCell ref="G335:H335"/>
    <mergeCell ref="E336:F336"/>
    <mergeCell ref="G336:H336"/>
    <mergeCell ref="E337:F337"/>
    <mergeCell ref="C321:C327"/>
    <mergeCell ref="D321:D327"/>
    <mergeCell ref="E321:F321"/>
    <mergeCell ref="G321:H321"/>
    <mergeCell ref="I321:I327"/>
    <mergeCell ref="J321:J327"/>
    <mergeCell ref="E322:F322"/>
    <mergeCell ref="G322:H322"/>
    <mergeCell ref="E323:F323"/>
    <mergeCell ref="G323:H323"/>
    <mergeCell ref="E324:F324"/>
    <mergeCell ref="G324:H324"/>
    <mergeCell ref="E325:F325"/>
    <mergeCell ref="G325:H325"/>
    <mergeCell ref="E326:F326"/>
    <mergeCell ref="G326:H326"/>
    <mergeCell ref="E327:F327"/>
    <mergeCell ref="G327:H327"/>
    <mergeCell ref="C318:C320"/>
    <mergeCell ref="D318:D320"/>
    <mergeCell ref="E318:F318"/>
    <mergeCell ref="G318:H318"/>
    <mergeCell ref="I318:I320"/>
    <mergeCell ref="J318:J320"/>
    <mergeCell ref="E319:F319"/>
    <mergeCell ref="G319:H319"/>
    <mergeCell ref="E320:F320"/>
    <mergeCell ref="G320:H320"/>
    <mergeCell ref="A296:J296"/>
    <mergeCell ref="C300:C306"/>
    <mergeCell ref="D300:D306"/>
    <mergeCell ref="E300:F300"/>
    <mergeCell ref="G300:H300"/>
    <mergeCell ref="I300:I306"/>
    <mergeCell ref="J300:J306"/>
    <mergeCell ref="E301:F301"/>
    <mergeCell ref="G301:H301"/>
    <mergeCell ref="E302:F302"/>
    <mergeCell ref="G302:H302"/>
    <mergeCell ref="E303:F303"/>
    <mergeCell ref="G303:H303"/>
    <mergeCell ref="E304:F304"/>
    <mergeCell ref="G304:H304"/>
    <mergeCell ref="E305:F305"/>
    <mergeCell ref="G305:H305"/>
    <mergeCell ref="E306:F306"/>
    <mergeCell ref="G306:H306"/>
    <mergeCell ref="C297:C299"/>
    <mergeCell ref="D297:D299"/>
    <mergeCell ref="E297:F297"/>
    <mergeCell ref="G297:H297"/>
    <mergeCell ref="I297:I299"/>
    <mergeCell ref="J297:J299"/>
    <mergeCell ref="E298:F298"/>
    <mergeCell ref="G298:H298"/>
    <mergeCell ref="E299:F299"/>
    <mergeCell ref="G299:H299"/>
    <mergeCell ref="A265:J265"/>
    <mergeCell ref="C278:C279"/>
    <mergeCell ref="D278:D279"/>
    <mergeCell ref="E278:F278"/>
    <mergeCell ref="G278:H278"/>
    <mergeCell ref="I278:I279"/>
    <mergeCell ref="J278:J279"/>
    <mergeCell ref="E279:F279"/>
    <mergeCell ref="G279:H279"/>
    <mergeCell ref="C269:C275"/>
    <mergeCell ref="D269:D275"/>
    <mergeCell ref="E269:F269"/>
    <mergeCell ref="G269:H269"/>
    <mergeCell ref="I269:I275"/>
    <mergeCell ref="J269:J275"/>
    <mergeCell ref="E270:F270"/>
    <mergeCell ref="G270:H270"/>
    <mergeCell ref="E271:F271"/>
    <mergeCell ref="G271:H271"/>
    <mergeCell ref="E272:F272"/>
    <mergeCell ref="G272:H272"/>
    <mergeCell ref="E273:F273"/>
    <mergeCell ref="G273:H273"/>
    <mergeCell ref="E274:F274"/>
    <mergeCell ref="G274:H274"/>
    <mergeCell ref="E275:F275"/>
    <mergeCell ref="G275:H275"/>
    <mergeCell ref="C266:C268"/>
    <mergeCell ref="D266:D268"/>
    <mergeCell ref="E266:F266"/>
    <mergeCell ref="G266:H266"/>
    <mergeCell ref="I266:I268"/>
    <mergeCell ref="J266:J268"/>
    <mergeCell ref="E267:F267"/>
    <mergeCell ref="G267:H267"/>
    <mergeCell ref="E268:F268"/>
    <mergeCell ref="G268:H268"/>
    <mergeCell ref="J222:J231"/>
    <mergeCell ref="E223:F223"/>
    <mergeCell ref="G223:H223"/>
    <mergeCell ref="E224:F224"/>
    <mergeCell ref="G224:H224"/>
    <mergeCell ref="E225:F225"/>
    <mergeCell ref="G225:H225"/>
    <mergeCell ref="E226:F226"/>
    <mergeCell ref="G226:H226"/>
    <mergeCell ref="E229:F229"/>
    <mergeCell ref="G229:H229"/>
    <mergeCell ref="E230:F230"/>
    <mergeCell ref="G230:H230"/>
    <mergeCell ref="E231:F231"/>
    <mergeCell ref="G231:H231"/>
    <mergeCell ref="C222:C231"/>
    <mergeCell ref="D222:D231"/>
    <mergeCell ref="E222:F222"/>
    <mergeCell ref="G222:H222"/>
    <mergeCell ref="E227:F227"/>
    <mergeCell ref="G227:H227"/>
    <mergeCell ref="E228:F228"/>
    <mergeCell ref="G228:H228"/>
    <mergeCell ref="I222:I231"/>
    <mergeCell ref="C212:C221"/>
    <mergeCell ref="D212:D221"/>
    <mergeCell ref="E212:F212"/>
    <mergeCell ref="G212:H212"/>
    <mergeCell ref="I212:I221"/>
    <mergeCell ref="J212:J221"/>
    <mergeCell ref="E213:F213"/>
    <mergeCell ref="G213:H213"/>
    <mergeCell ref="E214:F214"/>
    <mergeCell ref="G214:H214"/>
    <mergeCell ref="E215:F215"/>
    <mergeCell ref="G215:H215"/>
    <mergeCell ref="E216:F216"/>
    <mergeCell ref="G216:H216"/>
    <mergeCell ref="E217:F217"/>
    <mergeCell ref="G217:H217"/>
    <mergeCell ref="E218:F218"/>
    <mergeCell ref="G218:H218"/>
    <mergeCell ref="E219:F219"/>
    <mergeCell ref="G219:H219"/>
    <mergeCell ref="E220:F220"/>
    <mergeCell ref="G220:H220"/>
    <mergeCell ref="E221:F221"/>
    <mergeCell ref="G221:H221"/>
    <mergeCell ref="J202:J211"/>
    <mergeCell ref="E203:F203"/>
    <mergeCell ref="G203:H203"/>
    <mergeCell ref="E204:F204"/>
    <mergeCell ref="G204:H204"/>
    <mergeCell ref="E205:F205"/>
    <mergeCell ref="G205:H205"/>
    <mergeCell ref="E206:F206"/>
    <mergeCell ref="G206:H206"/>
    <mergeCell ref="E209:F209"/>
    <mergeCell ref="G209:H209"/>
    <mergeCell ref="E210:F210"/>
    <mergeCell ref="G210:H210"/>
    <mergeCell ref="E211:F211"/>
    <mergeCell ref="G211:H211"/>
    <mergeCell ref="C202:C211"/>
    <mergeCell ref="D202:D211"/>
    <mergeCell ref="E202:F202"/>
    <mergeCell ref="G202:H202"/>
    <mergeCell ref="E207:F207"/>
    <mergeCell ref="G207:H207"/>
    <mergeCell ref="E208:F208"/>
    <mergeCell ref="G208:H208"/>
    <mergeCell ref="I202:I211"/>
    <mergeCell ref="C192:C201"/>
    <mergeCell ref="D192:D201"/>
    <mergeCell ref="E192:F192"/>
    <mergeCell ref="G192:H192"/>
    <mergeCell ref="I192:I201"/>
    <mergeCell ref="J192:J201"/>
    <mergeCell ref="E193:F193"/>
    <mergeCell ref="G193:H193"/>
    <mergeCell ref="E194:F194"/>
    <mergeCell ref="G194:H194"/>
    <mergeCell ref="E195:F195"/>
    <mergeCell ref="G195:H195"/>
    <mergeCell ref="E196:F196"/>
    <mergeCell ref="G196:H196"/>
    <mergeCell ref="E197:F197"/>
    <mergeCell ref="G197:H197"/>
    <mergeCell ref="E198:F198"/>
    <mergeCell ref="G198:H198"/>
    <mergeCell ref="E199:F199"/>
    <mergeCell ref="G199:H199"/>
    <mergeCell ref="E200:F200"/>
    <mergeCell ref="G200:H200"/>
    <mergeCell ref="E201:F201"/>
    <mergeCell ref="G201:H201"/>
    <mergeCell ref="J182:J191"/>
    <mergeCell ref="E183:F183"/>
    <mergeCell ref="G183:H183"/>
    <mergeCell ref="E184:F184"/>
    <mergeCell ref="G184:H184"/>
    <mergeCell ref="E185:F185"/>
    <mergeCell ref="G185:H185"/>
    <mergeCell ref="E186:F186"/>
    <mergeCell ref="G186:H186"/>
    <mergeCell ref="E189:F189"/>
    <mergeCell ref="G189:H189"/>
    <mergeCell ref="E190:F190"/>
    <mergeCell ref="G190:H190"/>
    <mergeCell ref="E191:F191"/>
    <mergeCell ref="G191:H191"/>
    <mergeCell ref="C182:C191"/>
    <mergeCell ref="D182:D191"/>
    <mergeCell ref="E182:F182"/>
    <mergeCell ref="G182:H182"/>
    <mergeCell ref="E187:F187"/>
    <mergeCell ref="G187:H187"/>
    <mergeCell ref="E188:F188"/>
    <mergeCell ref="G188:H188"/>
    <mergeCell ref="I182:I191"/>
    <mergeCell ref="C172:C181"/>
    <mergeCell ref="D172:D181"/>
    <mergeCell ref="E172:F172"/>
    <mergeCell ref="G172:H172"/>
    <mergeCell ref="I172:I181"/>
    <mergeCell ref="J172:J181"/>
    <mergeCell ref="E173:F173"/>
    <mergeCell ref="G173:H173"/>
    <mergeCell ref="E174:F174"/>
    <mergeCell ref="G174:H174"/>
    <mergeCell ref="E175:F175"/>
    <mergeCell ref="G175:H175"/>
    <mergeCell ref="E176:F176"/>
    <mergeCell ref="G176:H176"/>
    <mergeCell ref="E177:F177"/>
    <mergeCell ref="G177:H177"/>
    <mergeCell ref="E178:F178"/>
    <mergeCell ref="G178:H178"/>
    <mergeCell ref="E179:F179"/>
    <mergeCell ref="G179:H179"/>
    <mergeCell ref="E180:F180"/>
    <mergeCell ref="G180:H180"/>
    <mergeCell ref="E181:F181"/>
    <mergeCell ref="G181:H181"/>
    <mergeCell ref="J162:J171"/>
    <mergeCell ref="E163:F163"/>
    <mergeCell ref="G163:H163"/>
    <mergeCell ref="E164:F164"/>
    <mergeCell ref="G164:H164"/>
    <mergeCell ref="E165:F165"/>
    <mergeCell ref="G165:H165"/>
    <mergeCell ref="E166:F166"/>
    <mergeCell ref="G166:H166"/>
    <mergeCell ref="E169:F169"/>
    <mergeCell ref="G169:H169"/>
    <mergeCell ref="E170:F170"/>
    <mergeCell ref="G170:H170"/>
    <mergeCell ref="E171:F171"/>
    <mergeCell ref="G171:H171"/>
    <mergeCell ref="C162:C171"/>
    <mergeCell ref="D162:D171"/>
    <mergeCell ref="E162:F162"/>
    <mergeCell ref="G162:H162"/>
    <mergeCell ref="E167:F167"/>
    <mergeCell ref="G167:H167"/>
    <mergeCell ref="E168:F168"/>
    <mergeCell ref="G168:H168"/>
    <mergeCell ref="I162:I171"/>
    <mergeCell ref="C152:C161"/>
    <mergeCell ref="D152:D161"/>
    <mergeCell ref="E152:F152"/>
    <mergeCell ref="G152:H152"/>
    <mergeCell ref="I152:I161"/>
    <mergeCell ref="J152:J161"/>
    <mergeCell ref="E153:F153"/>
    <mergeCell ref="G153:H153"/>
    <mergeCell ref="E154:F154"/>
    <mergeCell ref="G154:H154"/>
    <mergeCell ref="E155:F155"/>
    <mergeCell ref="G155:H155"/>
    <mergeCell ref="E156:F156"/>
    <mergeCell ref="G156:H156"/>
    <mergeCell ref="E157:F157"/>
    <mergeCell ref="G157:H157"/>
    <mergeCell ref="E158:F158"/>
    <mergeCell ref="G158:H158"/>
    <mergeCell ref="E159:F159"/>
    <mergeCell ref="G159:H159"/>
    <mergeCell ref="E160:F160"/>
    <mergeCell ref="G160:H160"/>
    <mergeCell ref="E161:F161"/>
    <mergeCell ref="G161:H161"/>
    <mergeCell ref="J142:J151"/>
    <mergeCell ref="E143:F143"/>
    <mergeCell ref="G143:H143"/>
    <mergeCell ref="E144:F144"/>
    <mergeCell ref="G144:H144"/>
    <mergeCell ref="E145:F145"/>
    <mergeCell ref="G145:H145"/>
    <mergeCell ref="E146:F146"/>
    <mergeCell ref="G146:H146"/>
    <mergeCell ref="E149:F149"/>
    <mergeCell ref="G149:H149"/>
    <mergeCell ref="E150:F150"/>
    <mergeCell ref="G150:H150"/>
    <mergeCell ref="E151:F151"/>
    <mergeCell ref="G151:H151"/>
    <mergeCell ref="C142:C151"/>
    <mergeCell ref="D142:D151"/>
    <mergeCell ref="E142:F142"/>
    <mergeCell ref="G142:H142"/>
    <mergeCell ref="E147:F147"/>
    <mergeCell ref="G147:H147"/>
    <mergeCell ref="E148:F148"/>
    <mergeCell ref="G148:H148"/>
    <mergeCell ref="I142:I151"/>
    <mergeCell ref="C132:C141"/>
    <mergeCell ref="D132:D141"/>
    <mergeCell ref="E132:F132"/>
    <mergeCell ref="G132:H132"/>
    <mergeCell ref="E137:F137"/>
    <mergeCell ref="G137:H137"/>
    <mergeCell ref="I132:I141"/>
    <mergeCell ref="J132:J141"/>
    <mergeCell ref="E133:F133"/>
    <mergeCell ref="G133:H133"/>
    <mergeCell ref="E134:F134"/>
    <mergeCell ref="G134:H134"/>
    <mergeCell ref="E135:F135"/>
    <mergeCell ref="G135:H135"/>
    <mergeCell ref="E136:F136"/>
    <mergeCell ref="G136:H136"/>
    <mergeCell ref="E138:F138"/>
    <mergeCell ref="G138:H138"/>
    <mergeCell ref="E139:F139"/>
    <mergeCell ref="G139:H139"/>
    <mergeCell ref="E140:F140"/>
    <mergeCell ref="G140:H140"/>
    <mergeCell ref="E141:F141"/>
    <mergeCell ref="G141:H141"/>
    <mergeCell ref="J108:J117"/>
    <mergeCell ref="E109:F109"/>
    <mergeCell ref="G109:H109"/>
    <mergeCell ref="E110:F110"/>
    <mergeCell ref="G110:H110"/>
    <mergeCell ref="E111:F111"/>
    <mergeCell ref="G111:H111"/>
    <mergeCell ref="E112:F112"/>
    <mergeCell ref="G112:H112"/>
    <mergeCell ref="E115:F115"/>
    <mergeCell ref="G115:H115"/>
    <mergeCell ref="E116:F116"/>
    <mergeCell ref="G116:H116"/>
    <mergeCell ref="E117:F117"/>
    <mergeCell ref="G117:H117"/>
    <mergeCell ref="C108:C117"/>
    <mergeCell ref="D108:D117"/>
    <mergeCell ref="E108:F108"/>
    <mergeCell ref="G108:H108"/>
    <mergeCell ref="E113:F113"/>
    <mergeCell ref="G113:H113"/>
    <mergeCell ref="E114:F114"/>
    <mergeCell ref="G114:H114"/>
    <mergeCell ref="I108:I117"/>
    <mergeCell ref="C98:C107"/>
    <mergeCell ref="D98:D107"/>
    <mergeCell ref="E98:F98"/>
    <mergeCell ref="G98:H98"/>
    <mergeCell ref="I98:I107"/>
    <mergeCell ref="J98:J107"/>
    <mergeCell ref="E99:F99"/>
    <mergeCell ref="G99:H99"/>
    <mergeCell ref="E100:F100"/>
    <mergeCell ref="G100:H100"/>
    <mergeCell ref="E101:F101"/>
    <mergeCell ref="G101:H101"/>
    <mergeCell ref="E102:F102"/>
    <mergeCell ref="G102:H102"/>
    <mergeCell ref="E103:F103"/>
    <mergeCell ref="G103:H103"/>
    <mergeCell ref="E104:F104"/>
    <mergeCell ref="G104:H104"/>
    <mergeCell ref="E105:F105"/>
    <mergeCell ref="G105:H105"/>
    <mergeCell ref="E106:F106"/>
    <mergeCell ref="G106:H106"/>
    <mergeCell ref="E107:F107"/>
    <mergeCell ref="G107:H107"/>
    <mergeCell ref="J88:J97"/>
    <mergeCell ref="E89:F89"/>
    <mergeCell ref="G89:H89"/>
    <mergeCell ref="E90:F90"/>
    <mergeCell ref="G90:H90"/>
    <mergeCell ref="E91:F91"/>
    <mergeCell ref="G91:H91"/>
    <mergeCell ref="E92:F92"/>
    <mergeCell ref="G92:H92"/>
    <mergeCell ref="E95:F95"/>
    <mergeCell ref="G95:H95"/>
    <mergeCell ref="E96:F96"/>
    <mergeCell ref="G96:H96"/>
    <mergeCell ref="E97:F97"/>
    <mergeCell ref="G97:H97"/>
    <mergeCell ref="C88:C97"/>
    <mergeCell ref="D88:D97"/>
    <mergeCell ref="E88:F88"/>
    <mergeCell ref="G88:H88"/>
    <mergeCell ref="E93:F93"/>
    <mergeCell ref="G93:H93"/>
    <mergeCell ref="E94:F94"/>
    <mergeCell ref="G94:H94"/>
    <mergeCell ref="I88:I97"/>
    <mergeCell ref="C78:C87"/>
    <mergeCell ref="D78:D87"/>
    <mergeCell ref="E78:F78"/>
    <mergeCell ref="G78:H78"/>
    <mergeCell ref="I78:I87"/>
    <mergeCell ref="J78:J87"/>
    <mergeCell ref="E79:F79"/>
    <mergeCell ref="G79:H79"/>
    <mergeCell ref="E80:F80"/>
    <mergeCell ref="G80:H80"/>
    <mergeCell ref="E81:F81"/>
    <mergeCell ref="G81:H81"/>
    <mergeCell ref="E82:F82"/>
    <mergeCell ref="G82:H82"/>
    <mergeCell ref="E83:F83"/>
    <mergeCell ref="G83:H83"/>
    <mergeCell ref="E84:F84"/>
    <mergeCell ref="G84:H84"/>
    <mergeCell ref="E85:F85"/>
    <mergeCell ref="G85:H85"/>
    <mergeCell ref="E86:F86"/>
    <mergeCell ref="G86:H86"/>
    <mergeCell ref="E87:F87"/>
    <mergeCell ref="G87:H87"/>
    <mergeCell ref="C75:C77"/>
    <mergeCell ref="D75:D77"/>
    <mergeCell ref="E75:F75"/>
    <mergeCell ref="G75:H75"/>
    <mergeCell ref="I75:I77"/>
    <mergeCell ref="J75:J77"/>
    <mergeCell ref="E76:F76"/>
    <mergeCell ref="G76:H76"/>
    <mergeCell ref="E77:F77"/>
    <mergeCell ref="G77:H77"/>
    <mergeCell ref="I65:I67"/>
    <mergeCell ref="J65:J67"/>
    <mergeCell ref="E66:F66"/>
    <mergeCell ref="G66:H66"/>
    <mergeCell ref="E67:F67"/>
    <mergeCell ref="G67:H67"/>
    <mergeCell ref="C68:C74"/>
    <mergeCell ref="D68:D74"/>
    <mergeCell ref="E68:F68"/>
    <mergeCell ref="G68:H68"/>
    <mergeCell ref="I68:I74"/>
    <mergeCell ref="J68:J74"/>
    <mergeCell ref="E69:F69"/>
    <mergeCell ref="G69:H69"/>
    <mergeCell ref="E70:F70"/>
    <mergeCell ref="G70:H70"/>
    <mergeCell ref="E71:F71"/>
    <mergeCell ref="G71:H71"/>
    <mergeCell ref="E72:F72"/>
    <mergeCell ref="G72:H72"/>
    <mergeCell ref="E73:F73"/>
    <mergeCell ref="G73:H73"/>
    <mergeCell ref="E74:F74"/>
    <mergeCell ref="G74:H74"/>
    <mergeCell ref="E47:F47"/>
    <mergeCell ref="G47:H47"/>
    <mergeCell ref="E48:F48"/>
    <mergeCell ref="G48:H48"/>
    <mergeCell ref="E49:F49"/>
    <mergeCell ref="G49:H49"/>
    <mergeCell ref="E50:F50"/>
    <mergeCell ref="G50:H50"/>
    <mergeCell ref="C65:C67"/>
    <mergeCell ref="D65:D67"/>
    <mergeCell ref="E65:F65"/>
    <mergeCell ref="G65:H65"/>
    <mergeCell ref="A64:J64"/>
    <mergeCell ref="C27:C50"/>
    <mergeCell ref="D27:D50"/>
    <mergeCell ref="E27:F27"/>
    <mergeCell ref="G27:H27"/>
    <mergeCell ref="I27:I50"/>
    <mergeCell ref="J27:J50"/>
    <mergeCell ref="E28:F28"/>
    <mergeCell ref="G28:H28"/>
    <mergeCell ref="E29:F29"/>
    <mergeCell ref="G29:H29"/>
    <mergeCell ref="E30:F30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35:F35"/>
    <mergeCell ref="G35:H35"/>
    <mergeCell ref="E36:F36"/>
    <mergeCell ref="G36:H36"/>
    <mergeCell ref="C24:C26"/>
    <mergeCell ref="D24:D26"/>
    <mergeCell ref="E24:F24"/>
    <mergeCell ref="G24:H24"/>
    <mergeCell ref="I24:I26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J24:J26"/>
    <mergeCell ref="E25:F25"/>
    <mergeCell ref="G25:H25"/>
    <mergeCell ref="E26:F26"/>
    <mergeCell ref="G26:H26"/>
    <mergeCell ref="C17:C23"/>
    <mergeCell ref="D17:D23"/>
    <mergeCell ref="E17:F17"/>
    <mergeCell ref="G17:H17"/>
    <mergeCell ref="I17:I23"/>
    <mergeCell ref="J17:J23"/>
    <mergeCell ref="E18:F18"/>
    <mergeCell ref="G18:H18"/>
    <mergeCell ref="E19:F19"/>
    <mergeCell ref="G19:H19"/>
    <mergeCell ref="E20:F20"/>
    <mergeCell ref="G20:H20"/>
    <mergeCell ref="E21:F21"/>
    <mergeCell ref="G21:H21"/>
    <mergeCell ref="E22:F22"/>
    <mergeCell ref="G22:H22"/>
    <mergeCell ref="E23:F23"/>
    <mergeCell ref="G23:H23"/>
    <mergeCell ref="C1:J1"/>
    <mergeCell ref="E2:J2"/>
    <mergeCell ref="A3:C3"/>
    <mergeCell ref="E5:H5"/>
    <mergeCell ref="C14:C16"/>
    <mergeCell ref="D14:D16"/>
    <mergeCell ref="E14:F14"/>
    <mergeCell ref="G14:H14"/>
    <mergeCell ref="I14:I16"/>
    <mergeCell ref="J14:J16"/>
    <mergeCell ref="E15:F15"/>
    <mergeCell ref="G15:H15"/>
    <mergeCell ref="E16:F16"/>
    <mergeCell ref="G16:H16"/>
    <mergeCell ref="A4:C4"/>
    <mergeCell ref="A6:J6"/>
    <mergeCell ref="A13:J13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scale="60" orientation="portrait" horizontalDpi="4294967292" verticalDpi="200" r:id="rId1"/>
  <headerFooter alignWithMargins="0">
    <oddFooter>&amp;C&amp;"Times New Roman,標準"&amp;P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55D3E-1DA0-47FA-B81C-24A20255A04A}">
  <dimension ref="A1:K64"/>
  <sheetViews>
    <sheetView showGridLines="0" zoomScale="85" zoomScaleNormal="85" zoomScaleSheetLayoutView="75" workbookViewId="0">
      <selection activeCell="I76" sqref="I76"/>
    </sheetView>
  </sheetViews>
  <sheetFormatPr defaultColWidth="9" defaultRowHeight="15"/>
  <cols>
    <col min="1" max="1" width="12" style="6" bestFit="1" customWidth="1"/>
    <col min="2" max="2" width="12" style="6" customWidth="1"/>
    <col min="3" max="3" width="33.125" style="6" customWidth="1"/>
    <col min="4" max="4" width="17" style="6" customWidth="1"/>
    <col min="5" max="8" width="8" style="46" customWidth="1"/>
    <col min="9" max="9" width="33" style="6" bestFit="1" customWidth="1"/>
    <col min="10" max="10" width="25.625" style="6" customWidth="1"/>
    <col min="11" max="16384" width="9" style="6"/>
  </cols>
  <sheetData>
    <row r="1" spans="1:11">
      <c r="A1" s="50" t="s">
        <v>8</v>
      </c>
      <c r="B1" s="90"/>
      <c r="C1" s="153" t="s">
        <v>50</v>
      </c>
      <c r="D1" s="154"/>
      <c r="E1" s="154"/>
      <c r="F1" s="154"/>
      <c r="G1" s="154"/>
      <c r="H1" s="154"/>
      <c r="I1" s="154"/>
      <c r="J1" s="155"/>
    </row>
    <row r="2" spans="1:11">
      <c r="A2" s="50"/>
      <c r="B2" s="50"/>
      <c r="C2" s="36" t="s">
        <v>9</v>
      </c>
      <c r="D2" s="63"/>
      <c r="E2" s="156" t="str">
        <f>Cover!C13</f>
        <v>CIM Equipment spec.</v>
      </c>
      <c r="F2" s="156"/>
      <c r="G2" s="156"/>
      <c r="H2" s="156"/>
      <c r="I2" s="156"/>
      <c r="J2" s="157"/>
    </row>
    <row r="3" spans="1:11" ht="15" customHeight="1">
      <c r="A3" s="158" t="s">
        <v>192</v>
      </c>
      <c r="B3" s="159"/>
      <c r="C3" s="159"/>
      <c r="D3" s="58" t="s">
        <v>257</v>
      </c>
      <c r="E3" s="58"/>
      <c r="G3" s="6"/>
      <c r="H3" s="6"/>
      <c r="J3" s="37"/>
    </row>
    <row r="4" spans="1:11" ht="15.6" customHeight="1">
      <c r="A4" s="160" t="s">
        <v>193</v>
      </c>
      <c r="B4" s="161"/>
      <c r="C4" s="161"/>
      <c r="D4" s="92">
        <v>42001</v>
      </c>
      <c r="E4" s="57"/>
      <c r="F4" s="57"/>
      <c r="G4" s="57"/>
      <c r="H4" s="57"/>
      <c r="I4" s="57"/>
      <c r="J4" s="31"/>
    </row>
    <row r="5" spans="1:11" ht="30.75" thickBot="1">
      <c r="A5" s="38" t="s">
        <v>190</v>
      </c>
      <c r="B5" s="91" t="s">
        <v>191</v>
      </c>
      <c r="C5" s="39" t="s">
        <v>4</v>
      </c>
      <c r="D5" s="39" t="s">
        <v>53</v>
      </c>
      <c r="E5" s="162" t="s">
        <v>52</v>
      </c>
      <c r="F5" s="163"/>
      <c r="G5" s="163"/>
      <c r="H5" s="164"/>
      <c r="I5" s="30" t="s">
        <v>5</v>
      </c>
      <c r="J5" s="40" t="s">
        <v>6</v>
      </c>
    </row>
    <row r="6" spans="1:11" ht="15.6" customHeight="1">
      <c r="A6" s="141" t="s">
        <v>195</v>
      </c>
      <c r="B6" s="142"/>
      <c r="C6" s="142"/>
      <c r="D6" s="142"/>
      <c r="E6" s="142"/>
      <c r="F6" s="142"/>
      <c r="G6" s="142"/>
      <c r="H6" s="142"/>
      <c r="I6" s="142"/>
      <c r="J6" s="143"/>
    </row>
    <row r="7" spans="1:11" ht="151.5" customHeight="1">
      <c r="A7" s="32" t="str">
        <f t="shared" ref="A7:A12" si="0">LEFT($D$3, 2) &amp; (MID($D$3, 3, LEN($D$3)) + K7)</f>
        <v>DM12000</v>
      </c>
      <c r="B7" s="93">
        <f>$D$4+K7</f>
        <v>42001</v>
      </c>
      <c r="C7" s="59" t="s">
        <v>51</v>
      </c>
      <c r="D7" s="66" t="s">
        <v>81</v>
      </c>
      <c r="E7" s="60" t="s">
        <v>2</v>
      </c>
      <c r="F7" s="61" t="s">
        <v>2</v>
      </c>
      <c r="G7" s="61" t="s">
        <v>2</v>
      </c>
      <c r="H7" s="99" t="s">
        <v>115</v>
      </c>
      <c r="I7" s="65" t="s">
        <v>203</v>
      </c>
      <c r="J7" s="33" t="s">
        <v>48</v>
      </c>
      <c r="K7" s="110" t="s">
        <v>181</v>
      </c>
    </row>
    <row r="8" spans="1:11" ht="151.5" customHeight="1">
      <c r="A8" s="32" t="str">
        <f t="shared" si="0"/>
        <v>DM12001</v>
      </c>
      <c r="B8" s="93">
        <f>$D$4+K8</f>
        <v>42002</v>
      </c>
      <c r="C8" s="42" t="s">
        <v>55</v>
      </c>
      <c r="D8" s="42" t="s">
        <v>116</v>
      </c>
      <c r="E8" s="60">
        <v>0</v>
      </c>
      <c r="F8" s="61" t="s">
        <v>2</v>
      </c>
      <c r="G8" s="61" t="s">
        <v>2</v>
      </c>
      <c r="H8" s="99" t="s">
        <v>115</v>
      </c>
      <c r="I8" s="65" t="s">
        <v>203</v>
      </c>
      <c r="J8" s="33" t="s">
        <v>3</v>
      </c>
      <c r="K8" s="110" t="s">
        <v>178</v>
      </c>
    </row>
    <row r="9" spans="1:11" ht="151.5" customHeight="1">
      <c r="A9" s="32" t="str">
        <f t="shared" si="0"/>
        <v>DM12002</v>
      </c>
      <c r="B9" s="93">
        <f t="shared" ref="B9:B12" si="1">$D$4+K9</f>
        <v>42003</v>
      </c>
      <c r="C9" s="62" t="s">
        <v>56</v>
      </c>
      <c r="D9" s="66" t="s">
        <v>116</v>
      </c>
      <c r="E9" s="60" t="s">
        <v>2</v>
      </c>
      <c r="F9" s="61">
        <v>0</v>
      </c>
      <c r="G9" s="61">
        <v>0</v>
      </c>
      <c r="H9" s="61" t="s">
        <v>2</v>
      </c>
      <c r="I9" s="67"/>
      <c r="J9" s="44"/>
      <c r="K9" s="110" t="s">
        <v>179</v>
      </c>
    </row>
    <row r="10" spans="1:11" ht="151.5" customHeight="1">
      <c r="A10" s="32" t="str">
        <f t="shared" si="0"/>
        <v>DM12003</v>
      </c>
      <c r="B10" s="93">
        <f t="shared" si="1"/>
        <v>42004</v>
      </c>
      <c r="C10" s="62" t="s">
        <v>57</v>
      </c>
      <c r="D10" s="66" t="s">
        <v>81</v>
      </c>
      <c r="E10" s="60">
        <v>0</v>
      </c>
      <c r="F10" s="61">
        <v>0</v>
      </c>
      <c r="G10" s="61">
        <v>0</v>
      </c>
      <c r="H10" s="61" t="s">
        <v>2</v>
      </c>
      <c r="I10" s="67"/>
      <c r="J10" s="43"/>
      <c r="K10" s="110" t="s">
        <v>180</v>
      </c>
    </row>
    <row r="11" spans="1:11" ht="151.5" customHeight="1">
      <c r="A11" s="32" t="str">
        <f t="shared" si="0"/>
        <v>DM12004</v>
      </c>
      <c r="B11" s="93">
        <f t="shared" si="1"/>
        <v>42005</v>
      </c>
      <c r="C11" s="62" t="s">
        <v>214</v>
      </c>
      <c r="D11" s="66" t="s">
        <v>81</v>
      </c>
      <c r="E11" s="60">
        <v>0</v>
      </c>
      <c r="F11" s="61">
        <v>0</v>
      </c>
      <c r="G11" s="61">
        <v>0</v>
      </c>
      <c r="H11" s="114" t="s">
        <v>196</v>
      </c>
      <c r="I11" s="67" t="s">
        <v>216</v>
      </c>
      <c r="J11" s="43"/>
      <c r="K11" s="110" t="s">
        <v>213</v>
      </c>
    </row>
    <row r="12" spans="1:11" ht="151.5" customHeight="1" thickBot="1">
      <c r="A12" s="32" t="str">
        <f t="shared" si="0"/>
        <v>DM12005</v>
      </c>
      <c r="B12" s="93">
        <f t="shared" si="1"/>
        <v>42006</v>
      </c>
      <c r="C12" s="62" t="s">
        <v>218</v>
      </c>
      <c r="D12" s="66" t="s">
        <v>116</v>
      </c>
      <c r="E12" s="60">
        <v>0</v>
      </c>
      <c r="F12" s="61">
        <v>0</v>
      </c>
      <c r="G12" s="61">
        <v>0</v>
      </c>
      <c r="H12" s="114" t="s">
        <v>196</v>
      </c>
      <c r="I12" s="67" t="s">
        <v>219</v>
      </c>
      <c r="J12" s="43"/>
      <c r="K12" s="110" t="s">
        <v>217</v>
      </c>
    </row>
    <row r="13" spans="1:11" ht="15.6" customHeight="1">
      <c r="A13" s="141" t="s">
        <v>153</v>
      </c>
      <c r="B13" s="142"/>
      <c r="C13" s="142"/>
      <c r="D13" s="142"/>
      <c r="E13" s="142"/>
      <c r="F13" s="142"/>
      <c r="G13" s="142"/>
      <c r="H13" s="142"/>
      <c r="I13" s="142"/>
      <c r="J13" s="143"/>
    </row>
    <row r="14" spans="1:11" ht="15.6" customHeight="1">
      <c r="A14" s="32" t="str">
        <f t="shared" ref="A14:A43" si="2">LEFT($D$3, 2) &amp; (MID($D$3, 3, LEN($D$3)) + K14)</f>
        <v>DM12100</v>
      </c>
      <c r="B14" s="93">
        <f t="shared" ref="B14:B43" si="3">$D$4+K14</f>
        <v>42101</v>
      </c>
      <c r="C14" s="144" t="s">
        <v>59</v>
      </c>
      <c r="D14" s="144" t="s">
        <v>58</v>
      </c>
      <c r="E14" s="139" t="s">
        <v>25</v>
      </c>
      <c r="F14" s="140"/>
      <c r="G14" s="139" t="s">
        <v>65</v>
      </c>
      <c r="H14" s="140"/>
      <c r="I14" s="147" t="s">
        <v>60</v>
      </c>
      <c r="J14" s="150" t="s">
        <v>82</v>
      </c>
      <c r="K14" s="6">
        <v>100</v>
      </c>
    </row>
    <row r="15" spans="1:11" ht="15.6" customHeight="1">
      <c r="A15" s="32" t="str">
        <f t="shared" si="2"/>
        <v>DM12101</v>
      </c>
      <c r="B15" s="93">
        <f t="shared" si="3"/>
        <v>42102</v>
      </c>
      <c r="C15" s="145"/>
      <c r="D15" s="145"/>
      <c r="E15" s="139" t="s">
        <v>26</v>
      </c>
      <c r="F15" s="140"/>
      <c r="G15" s="139" t="s">
        <v>27</v>
      </c>
      <c r="H15" s="140"/>
      <c r="I15" s="148"/>
      <c r="J15" s="151"/>
      <c r="K15" s="6">
        <v>101</v>
      </c>
    </row>
    <row r="16" spans="1:11" ht="15.75" customHeight="1">
      <c r="A16" s="32" t="str">
        <f t="shared" si="2"/>
        <v>DM12102</v>
      </c>
      <c r="B16" s="93">
        <f t="shared" si="3"/>
        <v>42103</v>
      </c>
      <c r="C16" s="146"/>
      <c r="D16" s="145"/>
      <c r="E16" s="139" t="s">
        <v>28</v>
      </c>
      <c r="F16" s="140"/>
      <c r="G16" s="139" t="s">
        <v>29</v>
      </c>
      <c r="H16" s="140"/>
      <c r="I16" s="148"/>
      <c r="J16" s="151"/>
      <c r="K16" s="6">
        <v>102</v>
      </c>
    </row>
    <row r="17" spans="1:11" ht="15.75" customHeight="1">
      <c r="A17" s="32" t="str">
        <f t="shared" si="2"/>
        <v>DM12103</v>
      </c>
      <c r="B17" s="93">
        <f t="shared" si="3"/>
        <v>42104</v>
      </c>
      <c r="C17" s="144" t="s">
        <v>61</v>
      </c>
      <c r="D17" s="144" t="s">
        <v>81</v>
      </c>
      <c r="E17" s="165" t="s">
        <v>67</v>
      </c>
      <c r="F17" s="166"/>
      <c r="G17" s="167" t="s">
        <v>66</v>
      </c>
      <c r="H17" s="168"/>
      <c r="I17" s="147" t="s">
        <v>62</v>
      </c>
      <c r="J17" s="150" t="s">
        <v>63</v>
      </c>
      <c r="K17" s="6">
        <v>103</v>
      </c>
    </row>
    <row r="18" spans="1:11" ht="16.5" customHeight="1">
      <c r="A18" s="32" t="str">
        <f t="shared" si="2"/>
        <v>DM12104</v>
      </c>
      <c r="B18" s="93">
        <f t="shared" si="3"/>
        <v>42105</v>
      </c>
      <c r="C18" s="145"/>
      <c r="D18" s="145"/>
      <c r="E18" s="165" t="s">
        <v>69</v>
      </c>
      <c r="F18" s="166"/>
      <c r="G18" s="167" t="s">
        <v>68</v>
      </c>
      <c r="H18" s="168"/>
      <c r="I18" s="148"/>
      <c r="J18" s="151"/>
      <c r="K18" s="6">
        <v>104</v>
      </c>
    </row>
    <row r="19" spans="1:11" ht="16.5" customHeight="1">
      <c r="A19" s="32" t="str">
        <f t="shared" si="2"/>
        <v>DM12105</v>
      </c>
      <c r="B19" s="93">
        <f t="shared" si="3"/>
        <v>42106</v>
      </c>
      <c r="C19" s="145"/>
      <c r="D19" s="145"/>
      <c r="E19" s="165" t="s">
        <v>71</v>
      </c>
      <c r="F19" s="166"/>
      <c r="G19" s="167" t="s">
        <v>70</v>
      </c>
      <c r="H19" s="168"/>
      <c r="I19" s="148"/>
      <c r="J19" s="151"/>
      <c r="K19" s="6">
        <v>105</v>
      </c>
    </row>
    <row r="20" spans="1:11" ht="16.5" customHeight="1">
      <c r="A20" s="32" t="str">
        <f t="shared" si="2"/>
        <v>DM12106</v>
      </c>
      <c r="B20" s="93">
        <f t="shared" si="3"/>
        <v>42107</v>
      </c>
      <c r="C20" s="145"/>
      <c r="D20" s="145"/>
      <c r="E20" s="165" t="s">
        <v>73</v>
      </c>
      <c r="F20" s="166"/>
      <c r="G20" s="167" t="s">
        <v>72</v>
      </c>
      <c r="H20" s="168"/>
      <c r="I20" s="148"/>
      <c r="J20" s="151"/>
      <c r="K20" s="6">
        <v>106</v>
      </c>
    </row>
    <row r="21" spans="1:11" ht="16.149999999999999" customHeight="1">
      <c r="A21" s="32" t="str">
        <f t="shared" si="2"/>
        <v>DM12107</v>
      </c>
      <c r="B21" s="93">
        <f t="shared" si="3"/>
        <v>42108</v>
      </c>
      <c r="C21" s="145"/>
      <c r="D21" s="145"/>
      <c r="E21" s="165" t="s">
        <v>77</v>
      </c>
      <c r="F21" s="166"/>
      <c r="G21" s="167" t="s">
        <v>74</v>
      </c>
      <c r="H21" s="168"/>
      <c r="I21" s="148"/>
      <c r="J21" s="151"/>
      <c r="K21" s="6">
        <v>107</v>
      </c>
    </row>
    <row r="22" spans="1:11" ht="15.6" customHeight="1">
      <c r="A22" s="32" t="str">
        <f t="shared" si="2"/>
        <v>DM12108</v>
      </c>
      <c r="B22" s="93">
        <f t="shared" si="3"/>
        <v>42109</v>
      </c>
      <c r="C22" s="145"/>
      <c r="D22" s="145"/>
      <c r="E22" s="165" t="s">
        <v>78</v>
      </c>
      <c r="F22" s="166"/>
      <c r="G22" s="167" t="s">
        <v>75</v>
      </c>
      <c r="H22" s="168"/>
      <c r="I22" s="148"/>
      <c r="J22" s="151"/>
      <c r="K22" s="6">
        <v>108</v>
      </c>
    </row>
    <row r="23" spans="1:11" ht="15.6" customHeight="1">
      <c r="A23" s="32" t="str">
        <f t="shared" si="2"/>
        <v>DM12109</v>
      </c>
      <c r="B23" s="93">
        <f t="shared" si="3"/>
        <v>42110</v>
      </c>
      <c r="C23" s="146"/>
      <c r="D23" s="146"/>
      <c r="E23" s="165" t="s">
        <v>79</v>
      </c>
      <c r="F23" s="166"/>
      <c r="G23" s="167" t="s">
        <v>76</v>
      </c>
      <c r="H23" s="168"/>
      <c r="I23" s="149"/>
      <c r="J23" s="152"/>
      <c r="K23" s="6">
        <v>109</v>
      </c>
    </row>
    <row r="24" spans="1:11" ht="15" customHeight="1">
      <c r="A24" s="32" t="str">
        <f t="shared" si="2"/>
        <v>DM12110</v>
      </c>
      <c r="B24" s="93">
        <f t="shared" si="3"/>
        <v>42111</v>
      </c>
      <c r="C24" s="94" t="s">
        <v>154</v>
      </c>
      <c r="D24" s="73" t="s">
        <v>81</v>
      </c>
      <c r="E24" s="60">
        <v>0</v>
      </c>
      <c r="F24" s="61">
        <v>0</v>
      </c>
      <c r="G24" s="61">
        <v>0</v>
      </c>
      <c r="H24" s="114" t="s">
        <v>262</v>
      </c>
      <c r="I24" s="100" t="s">
        <v>157</v>
      </c>
      <c r="J24" s="101" t="s">
        <v>156</v>
      </c>
      <c r="K24" s="6">
        <v>110</v>
      </c>
    </row>
    <row r="25" spans="1:11" ht="15.75" customHeight="1">
      <c r="A25" s="32" t="str">
        <f t="shared" si="2"/>
        <v>DM12111</v>
      </c>
      <c r="B25" s="93">
        <f t="shared" si="3"/>
        <v>42112</v>
      </c>
      <c r="C25" s="94" t="s">
        <v>155</v>
      </c>
      <c r="D25" s="73" t="s">
        <v>81</v>
      </c>
      <c r="E25" s="60">
        <v>0</v>
      </c>
      <c r="F25" s="61">
        <v>0</v>
      </c>
      <c r="G25" s="61">
        <v>0</v>
      </c>
      <c r="H25" s="114" t="s">
        <v>262</v>
      </c>
      <c r="I25" s="100" t="s">
        <v>158</v>
      </c>
      <c r="J25" s="101" t="s">
        <v>156</v>
      </c>
      <c r="K25" s="6">
        <v>111</v>
      </c>
    </row>
    <row r="26" spans="1:11" ht="15.75" customHeight="1">
      <c r="A26" s="32" t="str">
        <f t="shared" si="2"/>
        <v>DM12112</v>
      </c>
      <c r="B26" s="93">
        <f t="shared" si="3"/>
        <v>42113</v>
      </c>
      <c r="C26" s="169" t="s">
        <v>160</v>
      </c>
      <c r="D26" s="169" t="s">
        <v>58</v>
      </c>
      <c r="E26" s="170" t="s">
        <v>25</v>
      </c>
      <c r="F26" s="170"/>
      <c r="G26" s="170" t="s">
        <v>65</v>
      </c>
      <c r="H26" s="170"/>
      <c r="I26" s="171" t="s">
        <v>161</v>
      </c>
      <c r="J26" s="172" t="s">
        <v>162</v>
      </c>
      <c r="K26" s="6">
        <v>112</v>
      </c>
    </row>
    <row r="27" spans="1:11" ht="16.5" customHeight="1">
      <c r="A27" s="32" t="str">
        <f t="shared" si="2"/>
        <v>DM12113</v>
      </c>
      <c r="B27" s="93">
        <f t="shared" si="3"/>
        <v>42114</v>
      </c>
      <c r="C27" s="169"/>
      <c r="D27" s="169"/>
      <c r="E27" s="170" t="s">
        <v>26</v>
      </c>
      <c r="F27" s="170"/>
      <c r="G27" s="170" t="s">
        <v>27</v>
      </c>
      <c r="H27" s="170"/>
      <c r="I27" s="171"/>
      <c r="J27" s="172"/>
      <c r="K27" s="6">
        <v>113</v>
      </c>
    </row>
    <row r="28" spans="1:11" ht="16.5" customHeight="1">
      <c r="A28" s="32" t="str">
        <f t="shared" si="2"/>
        <v>DM12114</v>
      </c>
      <c r="B28" s="93">
        <f t="shared" si="3"/>
        <v>42115</v>
      </c>
      <c r="C28" s="41" t="s">
        <v>0</v>
      </c>
      <c r="D28" s="82"/>
      <c r="E28" s="76"/>
      <c r="F28" s="74"/>
      <c r="G28" s="74"/>
      <c r="H28" s="77"/>
      <c r="I28" s="75"/>
      <c r="J28" s="96"/>
      <c r="K28" s="6">
        <v>114</v>
      </c>
    </row>
    <row r="29" spans="1:11" ht="16.5" customHeight="1">
      <c r="A29" s="32" t="str">
        <f t="shared" si="2"/>
        <v>DM12115</v>
      </c>
      <c r="B29" s="93">
        <f t="shared" si="3"/>
        <v>42116</v>
      </c>
      <c r="C29" s="41" t="s">
        <v>0</v>
      </c>
      <c r="D29" s="82"/>
      <c r="E29" s="76"/>
      <c r="F29" s="74"/>
      <c r="G29" s="74"/>
      <c r="H29" s="77"/>
      <c r="I29" s="75"/>
      <c r="J29" s="96"/>
      <c r="K29" s="6">
        <v>115</v>
      </c>
    </row>
    <row r="30" spans="1:11" ht="16.5" customHeight="1">
      <c r="A30" s="32" t="str">
        <f t="shared" si="2"/>
        <v>DM12116</v>
      </c>
      <c r="B30" s="93">
        <f t="shared" si="3"/>
        <v>42117</v>
      </c>
      <c r="C30" s="41" t="s">
        <v>0</v>
      </c>
      <c r="D30" s="82"/>
      <c r="E30" s="76"/>
      <c r="F30" s="74"/>
      <c r="G30" s="74"/>
      <c r="H30" s="77"/>
      <c r="I30" s="75"/>
      <c r="J30" s="96"/>
      <c r="K30" s="6">
        <v>116</v>
      </c>
    </row>
    <row r="31" spans="1:11" ht="16.5" customHeight="1">
      <c r="A31" s="32" t="str">
        <f t="shared" si="2"/>
        <v>DM12117</v>
      </c>
      <c r="B31" s="93">
        <f t="shared" si="3"/>
        <v>42118</v>
      </c>
      <c r="C31" s="41" t="s">
        <v>0</v>
      </c>
      <c r="D31" s="82"/>
      <c r="E31" s="76"/>
      <c r="F31" s="74"/>
      <c r="G31" s="74"/>
      <c r="H31" s="77"/>
      <c r="I31" s="75"/>
      <c r="J31" s="96"/>
      <c r="K31" s="6">
        <v>117</v>
      </c>
    </row>
    <row r="32" spans="1:11" ht="16.5" customHeight="1">
      <c r="A32" s="32" t="str">
        <f t="shared" si="2"/>
        <v>DM12118</v>
      </c>
      <c r="B32" s="93">
        <f t="shared" si="3"/>
        <v>42119</v>
      </c>
      <c r="C32" s="41" t="s">
        <v>0</v>
      </c>
      <c r="D32" s="82"/>
      <c r="E32" s="76"/>
      <c r="F32" s="74"/>
      <c r="G32" s="74"/>
      <c r="H32" s="77"/>
      <c r="I32" s="75"/>
      <c r="J32" s="96"/>
      <c r="K32" s="6">
        <v>118</v>
      </c>
    </row>
    <row r="33" spans="1:11">
      <c r="A33" s="32" t="str">
        <f t="shared" si="2"/>
        <v>DM12119</v>
      </c>
      <c r="B33" s="93">
        <f t="shared" si="3"/>
        <v>42120</v>
      </c>
      <c r="C33" s="41" t="s">
        <v>0</v>
      </c>
      <c r="D33" s="82"/>
      <c r="E33" s="76"/>
      <c r="F33" s="74"/>
      <c r="G33" s="74"/>
      <c r="H33" s="77"/>
      <c r="I33" s="75"/>
      <c r="J33" s="96"/>
      <c r="K33" s="6">
        <v>119</v>
      </c>
    </row>
    <row r="34" spans="1:11">
      <c r="A34" s="32" t="str">
        <f t="shared" si="2"/>
        <v>DM12120</v>
      </c>
      <c r="B34" s="93">
        <f t="shared" si="3"/>
        <v>42121</v>
      </c>
      <c r="C34" s="41" t="s">
        <v>0</v>
      </c>
      <c r="D34" s="82"/>
      <c r="E34" s="76"/>
      <c r="F34" s="74"/>
      <c r="G34" s="74"/>
      <c r="H34" s="77"/>
      <c r="I34" s="75"/>
      <c r="J34" s="96"/>
      <c r="K34" s="6">
        <v>120</v>
      </c>
    </row>
    <row r="35" spans="1:11">
      <c r="A35" s="32" t="str">
        <f t="shared" si="2"/>
        <v>DM12121</v>
      </c>
      <c r="B35" s="93">
        <f t="shared" si="3"/>
        <v>42122</v>
      </c>
      <c r="C35" s="94" t="s">
        <v>114</v>
      </c>
      <c r="D35" s="102" t="s">
        <v>116</v>
      </c>
      <c r="E35" s="83">
        <v>0</v>
      </c>
      <c r="F35" s="83">
        <v>0</v>
      </c>
      <c r="G35" s="83">
        <v>0</v>
      </c>
      <c r="H35" s="114" t="s">
        <v>262</v>
      </c>
      <c r="I35" s="103" t="s">
        <v>159</v>
      </c>
      <c r="J35" s="104" t="s">
        <v>156</v>
      </c>
      <c r="K35" s="6">
        <v>121</v>
      </c>
    </row>
    <row r="36" spans="1:11" ht="15" customHeight="1">
      <c r="A36" s="32" t="str">
        <f t="shared" si="2"/>
        <v>DM12122</v>
      </c>
      <c r="B36" s="93">
        <f t="shared" si="3"/>
        <v>42123</v>
      </c>
      <c r="C36" s="94" t="s">
        <v>194</v>
      </c>
      <c r="D36" s="102" t="s">
        <v>116</v>
      </c>
      <c r="E36" s="61">
        <v>0</v>
      </c>
      <c r="F36" s="61">
        <v>0</v>
      </c>
      <c r="G36" s="99" t="s">
        <v>198</v>
      </c>
      <c r="H36" s="99" t="s">
        <v>198</v>
      </c>
      <c r="I36" s="100" t="s">
        <v>199</v>
      </c>
      <c r="J36" s="101" t="s">
        <v>200</v>
      </c>
      <c r="K36" s="6">
        <v>122</v>
      </c>
    </row>
    <row r="37" spans="1:11" ht="15" customHeight="1">
      <c r="A37" s="32" t="str">
        <f t="shared" si="2"/>
        <v>DM12123</v>
      </c>
      <c r="B37" s="93">
        <f t="shared" si="3"/>
        <v>42124</v>
      </c>
      <c r="C37" s="105"/>
      <c r="D37" s="105"/>
      <c r="E37" s="108" t="s">
        <v>26</v>
      </c>
      <c r="F37" s="109"/>
      <c r="G37" s="108" t="s">
        <v>27</v>
      </c>
      <c r="H37" s="109"/>
      <c r="I37" s="107"/>
      <c r="J37" s="106"/>
      <c r="K37" s="6">
        <v>123</v>
      </c>
    </row>
    <row r="38" spans="1:11" ht="15" customHeight="1">
      <c r="A38" s="32" t="str">
        <f t="shared" si="2"/>
        <v>DM12124</v>
      </c>
      <c r="B38" s="93">
        <f t="shared" si="3"/>
        <v>42125</v>
      </c>
      <c r="C38" s="105"/>
      <c r="D38" s="105"/>
      <c r="E38" s="108" t="s">
        <v>28</v>
      </c>
      <c r="F38" s="109"/>
      <c r="G38" s="108" t="s">
        <v>29</v>
      </c>
      <c r="H38" s="109"/>
      <c r="I38" s="107"/>
      <c r="J38" s="106"/>
      <c r="K38" s="6">
        <v>124</v>
      </c>
    </row>
    <row r="39" spans="1:11" ht="15" customHeight="1">
      <c r="A39" s="32" t="str">
        <f t="shared" si="2"/>
        <v>DM12125</v>
      </c>
      <c r="B39" s="93">
        <f t="shared" si="3"/>
        <v>42126</v>
      </c>
      <c r="C39" s="105"/>
      <c r="D39" s="105"/>
      <c r="E39" s="108" t="s">
        <v>30</v>
      </c>
      <c r="F39" s="109"/>
      <c r="G39" s="108" t="s">
        <v>31</v>
      </c>
      <c r="H39" s="109"/>
      <c r="I39" s="107"/>
      <c r="J39" s="106"/>
      <c r="K39" s="6">
        <v>125</v>
      </c>
    </row>
    <row r="40" spans="1:11">
      <c r="A40" s="32" t="str">
        <f t="shared" si="2"/>
        <v>DM12126</v>
      </c>
      <c r="B40" s="93">
        <f t="shared" si="3"/>
        <v>42127</v>
      </c>
      <c r="C40" s="41" t="s">
        <v>0</v>
      </c>
      <c r="D40" s="82"/>
      <c r="E40" s="76"/>
      <c r="F40" s="74"/>
      <c r="G40" s="74"/>
      <c r="H40" s="77"/>
      <c r="I40" s="75"/>
      <c r="J40" s="96"/>
      <c r="K40" s="6">
        <v>126</v>
      </c>
    </row>
    <row r="41" spans="1:11">
      <c r="A41" s="32" t="str">
        <f t="shared" si="2"/>
        <v>DM12127</v>
      </c>
      <c r="B41" s="93">
        <f t="shared" si="3"/>
        <v>42128</v>
      </c>
      <c r="C41" s="41" t="s">
        <v>0</v>
      </c>
      <c r="D41" s="82"/>
      <c r="E41" s="76"/>
      <c r="F41" s="74"/>
      <c r="G41" s="74"/>
      <c r="H41" s="77"/>
      <c r="I41" s="75"/>
      <c r="J41" s="96"/>
      <c r="K41" s="6">
        <v>127</v>
      </c>
    </row>
    <row r="42" spans="1:11">
      <c r="A42" s="32" t="str">
        <f t="shared" si="2"/>
        <v>DM12128</v>
      </c>
      <c r="B42" s="93">
        <f t="shared" si="3"/>
        <v>42129</v>
      </c>
      <c r="C42" s="41" t="s">
        <v>0</v>
      </c>
      <c r="D42" s="82"/>
      <c r="E42" s="76"/>
      <c r="F42" s="74"/>
      <c r="G42" s="74"/>
      <c r="H42" s="77"/>
      <c r="I42" s="75"/>
      <c r="J42" s="96"/>
      <c r="K42" s="6">
        <v>128</v>
      </c>
    </row>
    <row r="43" spans="1:11" ht="15.75" thickBot="1">
      <c r="A43" s="32" t="str">
        <f t="shared" si="2"/>
        <v>DM12129</v>
      </c>
      <c r="B43" s="93">
        <f t="shared" si="3"/>
        <v>42130</v>
      </c>
      <c r="C43" s="41" t="s">
        <v>0</v>
      </c>
      <c r="D43" s="82"/>
      <c r="E43" s="76"/>
      <c r="F43" s="74"/>
      <c r="G43" s="74"/>
      <c r="H43" s="77"/>
      <c r="I43" s="75"/>
      <c r="J43" s="96"/>
      <c r="K43" s="6">
        <v>129</v>
      </c>
    </row>
    <row r="44" spans="1:11" ht="15.6" customHeight="1">
      <c r="A44" s="141" t="s">
        <v>163</v>
      </c>
      <c r="B44" s="142"/>
      <c r="C44" s="142"/>
      <c r="D44" s="142"/>
      <c r="E44" s="142"/>
      <c r="F44" s="142"/>
      <c r="G44" s="142"/>
      <c r="H44" s="142"/>
      <c r="I44" s="142"/>
      <c r="J44" s="143"/>
    </row>
    <row r="45" spans="1:11" ht="15" customHeight="1">
      <c r="A45" s="32" t="str">
        <f t="shared" ref="A45:A64" si="4">LEFT($D$3, 2) &amp; (MID($D$3, 3, LEN($D$3)) + K45)</f>
        <v>DM12130</v>
      </c>
      <c r="B45" s="93">
        <f t="shared" ref="B45:B64" si="5">$D$4+K45</f>
        <v>42131</v>
      </c>
      <c r="C45" s="144" t="s">
        <v>59</v>
      </c>
      <c r="D45" s="144" t="s">
        <v>58</v>
      </c>
      <c r="E45" s="139" t="s">
        <v>25</v>
      </c>
      <c r="F45" s="140"/>
      <c r="G45" s="139" t="s">
        <v>65</v>
      </c>
      <c r="H45" s="140"/>
      <c r="I45" s="147" t="s">
        <v>60</v>
      </c>
      <c r="J45" s="150" t="s">
        <v>82</v>
      </c>
      <c r="K45" s="6">
        <v>130</v>
      </c>
    </row>
    <row r="46" spans="1:11" ht="15" customHeight="1">
      <c r="A46" s="32" t="str">
        <f t="shared" si="4"/>
        <v>DM12131</v>
      </c>
      <c r="B46" s="93">
        <f t="shared" si="5"/>
        <v>42132</v>
      </c>
      <c r="C46" s="145"/>
      <c r="D46" s="145"/>
      <c r="E46" s="139" t="s">
        <v>26</v>
      </c>
      <c r="F46" s="140"/>
      <c r="G46" s="139" t="s">
        <v>27</v>
      </c>
      <c r="H46" s="140"/>
      <c r="I46" s="148"/>
      <c r="J46" s="151"/>
      <c r="K46" s="6">
        <v>131</v>
      </c>
    </row>
    <row r="47" spans="1:11" ht="15" customHeight="1">
      <c r="A47" s="32" t="str">
        <f t="shared" si="4"/>
        <v>DM12132</v>
      </c>
      <c r="B47" s="93">
        <f t="shared" si="5"/>
        <v>42133</v>
      </c>
      <c r="C47" s="146"/>
      <c r="D47" s="145"/>
      <c r="E47" s="139" t="s">
        <v>28</v>
      </c>
      <c r="F47" s="140"/>
      <c r="G47" s="139" t="s">
        <v>29</v>
      </c>
      <c r="H47" s="140"/>
      <c r="I47" s="148"/>
      <c r="J47" s="151"/>
      <c r="K47" s="6">
        <v>132</v>
      </c>
    </row>
    <row r="48" spans="1:11">
      <c r="A48" s="32" t="str">
        <f t="shared" si="4"/>
        <v>DM12133</v>
      </c>
      <c r="B48" s="93">
        <f t="shared" si="5"/>
        <v>42134</v>
      </c>
      <c r="C48" s="144" t="s">
        <v>61</v>
      </c>
      <c r="D48" s="144" t="s">
        <v>81</v>
      </c>
      <c r="E48" s="165" t="s">
        <v>67</v>
      </c>
      <c r="F48" s="166"/>
      <c r="G48" s="167" t="s">
        <v>66</v>
      </c>
      <c r="H48" s="168"/>
      <c r="I48" s="147" t="s">
        <v>62</v>
      </c>
      <c r="J48" s="150" t="s">
        <v>63</v>
      </c>
      <c r="K48" s="6">
        <v>133</v>
      </c>
    </row>
    <row r="49" spans="1:11">
      <c r="A49" s="32" t="str">
        <f t="shared" si="4"/>
        <v>DM12134</v>
      </c>
      <c r="B49" s="93">
        <f t="shared" si="5"/>
        <v>42135</v>
      </c>
      <c r="C49" s="145"/>
      <c r="D49" s="145"/>
      <c r="E49" s="165" t="s">
        <v>69</v>
      </c>
      <c r="F49" s="166"/>
      <c r="G49" s="167" t="s">
        <v>68</v>
      </c>
      <c r="H49" s="168"/>
      <c r="I49" s="148"/>
      <c r="J49" s="151"/>
      <c r="K49" s="6">
        <v>134</v>
      </c>
    </row>
    <row r="50" spans="1:11">
      <c r="A50" s="32" t="str">
        <f t="shared" si="4"/>
        <v>DM12135</v>
      </c>
      <c r="B50" s="93">
        <f t="shared" si="5"/>
        <v>42136</v>
      </c>
      <c r="C50" s="145"/>
      <c r="D50" s="145"/>
      <c r="E50" s="165" t="s">
        <v>71</v>
      </c>
      <c r="F50" s="166"/>
      <c r="G50" s="167" t="s">
        <v>70</v>
      </c>
      <c r="H50" s="168"/>
      <c r="I50" s="148"/>
      <c r="J50" s="151"/>
      <c r="K50" s="6">
        <v>135</v>
      </c>
    </row>
    <row r="51" spans="1:11">
      <c r="A51" s="32" t="str">
        <f t="shared" si="4"/>
        <v>DM12136</v>
      </c>
      <c r="B51" s="93">
        <f t="shared" si="5"/>
        <v>42137</v>
      </c>
      <c r="C51" s="145"/>
      <c r="D51" s="145"/>
      <c r="E51" s="165" t="s">
        <v>73</v>
      </c>
      <c r="F51" s="166"/>
      <c r="G51" s="167" t="s">
        <v>72</v>
      </c>
      <c r="H51" s="168"/>
      <c r="I51" s="148"/>
      <c r="J51" s="151"/>
      <c r="K51" s="6">
        <v>136</v>
      </c>
    </row>
    <row r="52" spans="1:11">
      <c r="A52" s="32" t="str">
        <f t="shared" si="4"/>
        <v>DM12137</v>
      </c>
      <c r="B52" s="93">
        <f t="shared" si="5"/>
        <v>42138</v>
      </c>
      <c r="C52" s="145"/>
      <c r="D52" s="145"/>
      <c r="E52" s="165" t="s">
        <v>77</v>
      </c>
      <c r="F52" s="166"/>
      <c r="G52" s="167" t="s">
        <v>74</v>
      </c>
      <c r="H52" s="168"/>
      <c r="I52" s="148"/>
      <c r="J52" s="151"/>
      <c r="K52" s="6">
        <v>137</v>
      </c>
    </row>
    <row r="53" spans="1:11">
      <c r="A53" s="32" t="str">
        <f t="shared" si="4"/>
        <v>DM12138</v>
      </c>
      <c r="B53" s="93">
        <f t="shared" si="5"/>
        <v>42139</v>
      </c>
      <c r="C53" s="145"/>
      <c r="D53" s="145"/>
      <c r="E53" s="165" t="s">
        <v>78</v>
      </c>
      <c r="F53" s="166"/>
      <c r="G53" s="167" t="s">
        <v>75</v>
      </c>
      <c r="H53" s="168"/>
      <c r="I53" s="148"/>
      <c r="J53" s="151"/>
      <c r="K53" s="6">
        <v>138</v>
      </c>
    </row>
    <row r="54" spans="1:11">
      <c r="A54" s="32" t="str">
        <f t="shared" si="4"/>
        <v>DM12139</v>
      </c>
      <c r="B54" s="93">
        <f t="shared" si="5"/>
        <v>42140</v>
      </c>
      <c r="C54" s="146"/>
      <c r="D54" s="146"/>
      <c r="E54" s="165" t="s">
        <v>79</v>
      </c>
      <c r="F54" s="166"/>
      <c r="G54" s="167" t="s">
        <v>76</v>
      </c>
      <c r="H54" s="168"/>
      <c r="I54" s="149"/>
      <c r="J54" s="152"/>
      <c r="K54" s="6">
        <v>139</v>
      </c>
    </row>
    <row r="55" spans="1:11">
      <c r="A55" s="32" t="str">
        <f t="shared" si="4"/>
        <v>DM12140</v>
      </c>
      <c r="B55" s="93">
        <f t="shared" si="5"/>
        <v>42141</v>
      </c>
      <c r="C55" s="104" t="s">
        <v>164</v>
      </c>
      <c r="D55" s="102" t="s">
        <v>81</v>
      </c>
      <c r="E55" s="83">
        <v>0</v>
      </c>
      <c r="F55" s="83">
        <v>0</v>
      </c>
      <c r="G55" s="83">
        <v>0</v>
      </c>
      <c r="H55" s="102" t="s">
        <v>54</v>
      </c>
      <c r="I55" s="104" t="s">
        <v>165</v>
      </c>
      <c r="J55" s="104" t="s">
        <v>166</v>
      </c>
      <c r="K55" s="6">
        <v>140</v>
      </c>
    </row>
    <row r="56" spans="1:11">
      <c r="A56" s="32" t="str">
        <f t="shared" si="4"/>
        <v>DM12141</v>
      </c>
      <c r="B56" s="93">
        <f t="shared" si="5"/>
        <v>42142</v>
      </c>
      <c r="C56" s="104" t="s">
        <v>167</v>
      </c>
      <c r="D56" s="102" t="s">
        <v>81</v>
      </c>
      <c r="E56" s="83">
        <v>0</v>
      </c>
      <c r="F56" s="83">
        <v>0</v>
      </c>
      <c r="G56" s="83">
        <v>0</v>
      </c>
      <c r="H56" s="102" t="s">
        <v>54</v>
      </c>
      <c r="I56" s="104" t="s">
        <v>168</v>
      </c>
      <c r="J56" s="104" t="s">
        <v>166</v>
      </c>
      <c r="K56" s="6">
        <v>141</v>
      </c>
    </row>
    <row r="57" spans="1:11">
      <c r="A57" s="32" t="str">
        <f t="shared" si="4"/>
        <v>DM12142</v>
      </c>
      <c r="B57" s="93">
        <f t="shared" si="5"/>
        <v>42143</v>
      </c>
      <c r="C57" s="35" t="s">
        <v>0</v>
      </c>
      <c r="D57" s="64"/>
      <c r="E57" s="47"/>
      <c r="F57" s="48"/>
      <c r="G57" s="48"/>
      <c r="H57" s="49"/>
      <c r="I57" s="34"/>
      <c r="J57" s="33"/>
      <c r="K57" s="6">
        <v>142</v>
      </c>
    </row>
    <row r="58" spans="1:11">
      <c r="A58" s="32" t="str">
        <f t="shared" si="4"/>
        <v>DM12143</v>
      </c>
      <c r="B58" s="93">
        <f t="shared" si="5"/>
        <v>42144</v>
      </c>
      <c r="C58" s="35" t="s">
        <v>0</v>
      </c>
      <c r="D58" s="64"/>
      <c r="E58" s="47"/>
      <c r="F58" s="48"/>
      <c r="G58" s="48"/>
      <c r="H58" s="49"/>
      <c r="I58" s="34"/>
      <c r="J58" s="33"/>
      <c r="K58" s="6">
        <v>143</v>
      </c>
    </row>
    <row r="59" spans="1:11">
      <c r="A59" s="32" t="str">
        <f t="shared" si="4"/>
        <v>DM12144</v>
      </c>
      <c r="B59" s="93">
        <f t="shared" si="5"/>
        <v>42145</v>
      </c>
      <c r="C59" s="35" t="s">
        <v>0</v>
      </c>
      <c r="D59" s="64"/>
      <c r="E59" s="47"/>
      <c r="F59" s="48"/>
      <c r="G59" s="48"/>
      <c r="H59" s="49"/>
      <c r="I59" s="34"/>
      <c r="J59" s="33"/>
      <c r="K59" s="6">
        <v>144</v>
      </c>
    </row>
    <row r="60" spans="1:11">
      <c r="A60" s="32" t="str">
        <f t="shared" si="4"/>
        <v>DM12145</v>
      </c>
      <c r="B60" s="93">
        <f t="shared" si="5"/>
        <v>42146</v>
      </c>
      <c r="C60" s="94" t="s">
        <v>114</v>
      </c>
      <c r="D60" s="102" t="s">
        <v>116</v>
      </c>
      <c r="E60" s="83">
        <v>0</v>
      </c>
      <c r="F60" s="83">
        <v>0</v>
      </c>
      <c r="G60" s="83">
        <v>0</v>
      </c>
      <c r="H60" s="114" t="s">
        <v>262</v>
      </c>
      <c r="I60" s="103" t="s">
        <v>159</v>
      </c>
      <c r="J60" s="104" t="s">
        <v>156</v>
      </c>
      <c r="K60" s="6">
        <v>145</v>
      </c>
    </row>
    <row r="61" spans="1:11" ht="15" customHeight="1">
      <c r="A61" s="32" t="str">
        <f t="shared" si="4"/>
        <v>DM12146</v>
      </c>
      <c r="B61" s="93">
        <f t="shared" si="5"/>
        <v>42147</v>
      </c>
      <c r="C61" s="94" t="s">
        <v>194</v>
      </c>
      <c r="D61" s="102" t="s">
        <v>116</v>
      </c>
      <c r="E61" s="61">
        <v>0</v>
      </c>
      <c r="F61" s="61">
        <v>0</v>
      </c>
      <c r="G61" s="99" t="s">
        <v>198</v>
      </c>
      <c r="H61" s="99" t="s">
        <v>198</v>
      </c>
      <c r="I61" s="100" t="s">
        <v>199</v>
      </c>
      <c r="J61" s="101" t="s">
        <v>200</v>
      </c>
      <c r="K61" s="6">
        <v>146</v>
      </c>
    </row>
    <row r="62" spans="1:11" ht="15" customHeight="1">
      <c r="A62" s="32" t="str">
        <f t="shared" si="4"/>
        <v>DM12147</v>
      </c>
      <c r="B62" s="93">
        <f t="shared" si="5"/>
        <v>42148</v>
      </c>
      <c r="C62" s="35" t="s">
        <v>0</v>
      </c>
      <c r="D62" s="64"/>
      <c r="E62" s="47"/>
      <c r="F62" s="48"/>
      <c r="G62" s="48"/>
      <c r="H62" s="49"/>
      <c r="I62" s="34"/>
      <c r="J62" s="35"/>
      <c r="K62" s="6">
        <v>147</v>
      </c>
    </row>
    <row r="63" spans="1:11" ht="15" customHeight="1">
      <c r="A63" s="32" t="str">
        <f t="shared" si="4"/>
        <v>DM12148</v>
      </c>
      <c r="B63" s="93">
        <f t="shared" si="5"/>
        <v>42149</v>
      </c>
      <c r="C63" s="35" t="s">
        <v>0</v>
      </c>
      <c r="D63" s="64"/>
      <c r="E63" s="47"/>
      <c r="F63" s="48"/>
      <c r="G63" s="48"/>
      <c r="H63" s="49"/>
      <c r="I63" s="34"/>
      <c r="J63" s="35"/>
      <c r="K63" s="6">
        <v>148</v>
      </c>
    </row>
    <row r="64" spans="1:11" ht="15" customHeight="1">
      <c r="A64" s="32" t="str">
        <f t="shared" si="4"/>
        <v>DM12149</v>
      </c>
      <c r="B64" s="93">
        <f t="shared" si="5"/>
        <v>42150</v>
      </c>
      <c r="C64" s="35" t="s">
        <v>0</v>
      </c>
      <c r="D64" s="34"/>
      <c r="E64" s="97"/>
      <c r="F64" s="98"/>
      <c r="G64" s="98"/>
      <c r="H64" s="112"/>
      <c r="I64" s="34"/>
      <c r="J64" s="35"/>
      <c r="K64" s="6">
        <v>149</v>
      </c>
    </row>
  </sheetData>
  <mergeCells count="72">
    <mergeCell ref="A6:J6"/>
    <mergeCell ref="C1:J1"/>
    <mergeCell ref="E2:J2"/>
    <mergeCell ref="A3:C3"/>
    <mergeCell ref="A4:C4"/>
    <mergeCell ref="E5:H5"/>
    <mergeCell ref="A13:J13"/>
    <mergeCell ref="C14:C16"/>
    <mergeCell ref="D14:D16"/>
    <mergeCell ref="E14:F14"/>
    <mergeCell ref="G14:H14"/>
    <mergeCell ref="I14:I16"/>
    <mergeCell ref="J14:J16"/>
    <mergeCell ref="E15:F15"/>
    <mergeCell ref="G15:H15"/>
    <mergeCell ref="E16:F16"/>
    <mergeCell ref="G16:H16"/>
    <mergeCell ref="C17:C23"/>
    <mergeCell ref="D17:D23"/>
    <mergeCell ref="E17:F17"/>
    <mergeCell ref="G17:H17"/>
    <mergeCell ref="E22:F22"/>
    <mergeCell ref="G22:H22"/>
    <mergeCell ref="E23:F23"/>
    <mergeCell ref="I17:I23"/>
    <mergeCell ref="J17:J23"/>
    <mergeCell ref="E18:F18"/>
    <mergeCell ref="G18:H18"/>
    <mergeCell ref="E19:F19"/>
    <mergeCell ref="G19:H19"/>
    <mergeCell ref="E20:F20"/>
    <mergeCell ref="G20:H20"/>
    <mergeCell ref="E21:F21"/>
    <mergeCell ref="G21:H21"/>
    <mergeCell ref="G23:H23"/>
    <mergeCell ref="C26:C27"/>
    <mergeCell ref="D26:D27"/>
    <mergeCell ref="E26:F26"/>
    <mergeCell ref="G26:H26"/>
    <mergeCell ref="J26:J27"/>
    <mergeCell ref="E27:F27"/>
    <mergeCell ref="G27:H27"/>
    <mergeCell ref="I26:I27"/>
    <mergeCell ref="A44:J44"/>
    <mergeCell ref="C45:C47"/>
    <mergeCell ref="D45:D47"/>
    <mergeCell ref="E45:F45"/>
    <mergeCell ref="G45:H45"/>
    <mergeCell ref="I45:I47"/>
    <mergeCell ref="J45:J47"/>
    <mergeCell ref="E46:F46"/>
    <mergeCell ref="G46:H46"/>
    <mergeCell ref="E47:F47"/>
    <mergeCell ref="G47:H47"/>
    <mergeCell ref="C48:C54"/>
    <mergeCell ref="D48:D54"/>
    <mergeCell ref="E48:F48"/>
    <mergeCell ref="G48:H48"/>
    <mergeCell ref="E53:F53"/>
    <mergeCell ref="G53:H53"/>
    <mergeCell ref="E54:F54"/>
    <mergeCell ref="G54:H54"/>
    <mergeCell ref="I48:I54"/>
    <mergeCell ref="J48:J54"/>
    <mergeCell ref="E49:F49"/>
    <mergeCell ref="G49:H49"/>
    <mergeCell ref="E50:F50"/>
    <mergeCell ref="G50:H50"/>
    <mergeCell ref="E51:F51"/>
    <mergeCell ref="G51:H51"/>
    <mergeCell ref="E52:F52"/>
    <mergeCell ref="G52:H52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scale="60" orientation="portrait" horizontalDpi="4294967292" verticalDpi="200" r:id="rId1"/>
  <headerFooter alignWithMargins="0">
    <oddFooter>&amp;C&amp;"Times New Roman,標準"&amp;P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69FBB-B650-446A-9B10-4085AF2FB485}">
  <dimension ref="A1:K357"/>
  <sheetViews>
    <sheetView showGridLines="0" zoomScale="85" zoomScaleNormal="85" zoomScaleSheetLayoutView="75" workbookViewId="0">
      <selection activeCell="N9" sqref="N9"/>
    </sheetView>
  </sheetViews>
  <sheetFormatPr defaultColWidth="9" defaultRowHeight="15"/>
  <cols>
    <col min="1" max="1" width="12" style="6" bestFit="1" customWidth="1"/>
    <col min="2" max="2" width="12" style="6" customWidth="1"/>
    <col min="3" max="3" width="33.125" style="6" customWidth="1"/>
    <col min="4" max="4" width="17" style="6" customWidth="1"/>
    <col min="5" max="8" width="8" style="46" customWidth="1"/>
    <col min="9" max="9" width="33" style="6" bestFit="1" customWidth="1"/>
    <col min="10" max="10" width="25.625" style="6" customWidth="1"/>
    <col min="11" max="16384" width="9" style="6"/>
  </cols>
  <sheetData>
    <row r="1" spans="1:11">
      <c r="A1" s="50" t="s">
        <v>8</v>
      </c>
      <c r="B1" s="90"/>
      <c r="C1" s="153" t="s">
        <v>50</v>
      </c>
      <c r="D1" s="154"/>
      <c r="E1" s="154"/>
      <c r="F1" s="154"/>
      <c r="G1" s="154"/>
      <c r="H1" s="154"/>
      <c r="I1" s="154"/>
      <c r="J1" s="155"/>
    </row>
    <row r="2" spans="1:11">
      <c r="A2" s="50"/>
      <c r="B2" s="50"/>
      <c r="C2" s="36" t="s">
        <v>9</v>
      </c>
      <c r="D2" s="63"/>
      <c r="E2" s="156" t="str">
        <f>Cover!C13</f>
        <v>CIM Equipment spec.</v>
      </c>
      <c r="F2" s="156"/>
      <c r="G2" s="156"/>
      <c r="H2" s="156"/>
      <c r="I2" s="156"/>
      <c r="J2" s="157"/>
    </row>
    <row r="3" spans="1:11" ht="15" customHeight="1">
      <c r="A3" s="158" t="s">
        <v>192</v>
      </c>
      <c r="B3" s="159"/>
      <c r="C3" s="159"/>
      <c r="D3" s="58" t="s">
        <v>258</v>
      </c>
      <c r="E3" s="58"/>
      <c r="G3" s="6"/>
      <c r="H3" s="6"/>
      <c r="J3" s="37"/>
    </row>
    <row r="4" spans="1:11" ht="15.6" customHeight="1">
      <c r="A4" s="160" t="s">
        <v>193</v>
      </c>
      <c r="B4" s="161"/>
      <c r="C4" s="161"/>
      <c r="D4" s="92">
        <v>43001</v>
      </c>
      <c r="E4" s="57"/>
      <c r="F4" s="57"/>
      <c r="G4" s="57"/>
      <c r="H4" s="57"/>
      <c r="I4" s="57"/>
      <c r="J4" s="31"/>
    </row>
    <row r="5" spans="1:11" ht="30.75" thickBot="1">
      <c r="A5" s="38" t="s">
        <v>190</v>
      </c>
      <c r="B5" s="91" t="s">
        <v>191</v>
      </c>
      <c r="C5" s="39" t="s">
        <v>4</v>
      </c>
      <c r="D5" s="39" t="s">
        <v>53</v>
      </c>
      <c r="E5" s="162" t="s">
        <v>52</v>
      </c>
      <c r="F5" s="163"/>
      <c r="G5" s="163"/>
      <c r="H5" s="164"/>
      <c r="I5" s="30" t="s">
        <v>5</v>
      </c>
      <c r="J5" s="40" t="s">
        <v>6</v>
      </c>
    </row>
    <row r="6" spans="1:11" ht="15.6" customHeight="1">
      <c r="A6" s="141" t="s">
        <v>195</v>
      </c>
      <c r="B6" s="142"/>
      <c r="C6" s="142"/>
      <c r="D6" s="142"/>
      <c r="E6" s="142"/>
      <c r="F6" s="142"/>
      <c r="G6" s="142"/>
      <c r="H6" s="142"/>
      <c r="I6" s="142"/>
      <c r="J6" s="143"/>
    </row>
    <row r="7" spans="1:11" ht="151.5" customHeight="1">
      <c r="A7" s="32" t="str">
        <f t="shared" ref="A7:A12" si="0">LEFT($D$3, 2) &amp; (MID($D$3, 3, LEN($D$3)) + K7)</f>
        <v>DM13000</v>
      </c>
      <c r="B7" s="93">
        <f>$D$4+K7</f>
        <v>43001</v>
      </c>
      <c r="C7" s="59" t="s">
        <v>51</v>
      </c>
      <c r="D7" s="66" t="s">
        <v>81</v>
      </c>
      <c r="E7" s="60" t="s">
        <v>2</v>
      </c>
      <c r="F7" s="61" t="s">
        <v>2</v>
      </c>
      <c r="G7" s="99" t="s">
        <v>201</v>
      </c>
      <c r="H7" s="99" t="s">
        <v>54</v>
      </c>
      <c r="I7" s="65" t="s">
        <v>204</v>
      </c>
      <c r="J7" s="33" t="s">
        <v>48</v>
      </c>
      <c r="K7" s="110" t="s">
        <v>181</v>
      </c>
    </row>
    <row r="8" spans="1:11" ht="151.5" customHeight="1">
      <c r="A8" s="32" t="str">
        <f t="shared" si="0"/>
        <v>DM13001</v>
      </c>
      <c r="B8" s="93">
        <f>$D$4+K8</f>
        <v>43002</v>
      </c>
      <c r="C8" s="42" t="s">
        <v>55</v>
      </c>
      <c r="D8" s="42" t="s">
        <v>116</v>
      </c>
      <c r="E8" s="60">
        <v>0</v>
      </c>
      <c r="F8" s="61" t="s">
        <v>2</v>
      </c>
      <c r="G8" s="99" t="s">
        <v>201</v>
      </c>
      <c r="H8" s="99" t="s">
        <v>54</v>
      </c>
      <c r="I8" s="65" t="s">
        <v>204</v>
      </c>
      <c r="J8" s="33" t="s">
        <v>3</v>
      </c>
      <c r="K8" s="110" t="s">
        <v>178</v>
      </c>
    </row>
    <row r="9" spans="1:11" ht="151.5" customHeight="1">
      <c r="A9" s="32" t="str">
        <f t="shared" si="0"/>
        <v>DM13002</v>
      </c>
      <c r="B9" s="93">
        <f t="shared" ref="B9:B63" si="1">$D$4+K9</f>
        <v>43003</v>
      </c>
      <c r="C9" s="62" t="s">
        <v>56</v>
      </c>
      <c r="D9" s="66" t="s">
        <v>116</v>
      </c>
      <c r="E9" s="60" t="s">
        <v>2</v>
      </c>
      <c r="F9" s="61">
        <v>0</v>
      </c>
      <c r="G9" s="61">
        <v>0</v>
      </c>
      <c r="H9" s="61" t="s">
        <v>2</v>
      </c>
      <c r="I9" s="67"/>
      <c r="J9" s="44"/>
      <c r="K9" s="110" t="s">
        <v>179</v>
      </c>
    </row>
    <row r="10" spans="1:11" ht="151.5" customHeight="1">
      <c r="A10" s="32" t="str">
        <f t="shared" si="0"/>
        <v>DM13003</v>
      </c>
      <c r="B10" s="93">
        <f t="shared" si="1"/>
        <v>43004</v>
      </c>
      <c r="C10" s="62" t="s">
        <v>57</v>
      </c>
      <c r="D10" s="66" t="s">
        <v>81</v>
      </c>
      <c r="E10" s="60">
        <v>0</v>
      </c>
      <c r="F10" s="61">
        <v>0</v>
      </c>
      <c r="G10" s="61">
        <v>0</v>
      </c>
      <c r="H10" s="61" t="s">
        <v>2</v>
      </c>
      <c r="I10" s="67"/>
      <c r="J10" s="43"/>
      <c r="K10" s="110" t="s">
        <v>180</v>
      </c>
    </row>
    <row r="11" spans="1:11" ht="151.5" customHeight="1">
      <c r="A11" s="32" t="str">
        <f t="shared" si="0"/>
        <v>DM13004</v>
      </c>
      <c r="B11" s="93">
        <f t="shared" si="1"/>
        <v>43005</v>
      </c>
      <c r="C11" s="62" t="s">
        <v>214</v>
      </c>
      <c r="D11" s="66" t="s">
        <v>81</v>
      </c>
      <c r="E11" s="60">
        <v>0</v>
      </c>
      <c r="F11" s="61">
        <v>0</v>
      </c>
      <c r="G11" s="61">
        <v>0</v>
      </c>
      <c r="H11" s="114" t="s">
        <v>196</v>
      </c>
      <c r="I11" s="67" t="s">
        <v>216</v>
      </c>
      <c r="J11" s="43"/>
      <c r="K11" s="110" t="s">
        <v>213</v>
      </c>
    </row>
    <row r="12" spans="1:11" ht="151.5" customHeight="1" thickBot="1">
      <c r="A12" s="32" t="str">
        <f t="shared" si="0"/>
        <v>DM13005</v>
      </c>
      <c r="B12" s="93">
        <f t="shared" si="1"/>
        <v>43006</v>
      </c>
      <c r="C12" s="62" t="s">
        <v>218</v>
      </c>
      <c r="D12" s="66" t="s">
        <v>116</v>
      </c>
      <c r="E12" s="60">
        <v>0</v>
      </c>
      <c r="F12" s="61">
        <v>0</v>
      </c>
      <c r="G12" s="61">
        <v>0</v>
      </c>
      <c r="H12" s="114" t="s">
        <v>196</v>
      </c>
      <c r="I12" s="67" t="s">
        <v>219</v>
      </c>
      <c r="J12" s="43"/>
      <c r="K12" s="110" t="s">
        <v>217</v>
      </c>
    </row>
    <row r="13" spans="1:11" ht="15.6" customHeight="1">
      <c r="A13" s="141" t="s">
        <v>118</v>
      </c>
      <c r="B13" s="142"/>
      <c r="C13" s="142"/>
      <c r="D13" s="142"/>
      <c r="E13" s="142"/>
      <c r="F13" s="142"/>
      <c r="G13" s="142"/>
      <c r="H13" s="142"/>
      <c r="I13" s="142"/>
      <c r="J13" s="143"/>
    </row>
    <row r="14" spans="1:11">
      <c r="A14" s="32" t="str">
        <f t="shared" ref="A14:A63" si="2">LEFT($D$3, 2) &amp; (MID($D$3, 3, LEN($D$3)) + K14)</f>
        <v>DM13100</v>
      </c>
      <c r="B14" s="93">
        <f t="shared" si="1"/>
        <v>43101</v>
      </c>
      <c r="C14" s="144" t="s">
        <v>59</v>
      </c>
      <c r="D14" s="144" t="s">
        <v>81</v>
      </c>
      <c r="E14" s="139" t="s">
        <v>25</v>
      </c>
      <c r="F14" s="140"/>
      <c r="G14" s="139" t="s">
        <v>65</v>
      </c>
      <c r="H14" s="140"/>
      <c r="I14" s="147" t="s">
        <v>60</v>
      </c>
      <c r="J14" s="150" t="s">
        <v>82</v>
      </c>
      <c r="K14" s="6">
        <v>100</v>
      </c>
    </row>
    <row r="15" spans="1:11">
      <c r="A15" s="32" t="str">
        <f t="shared" si="2"/>
        <v>DM13101</v>
      </c>
      <c r="B15" s="93">
        <f t="shared" si="1"/>
        <v>43102</v>
      </c>
      <c r="C15" s="145"/>
      <c r="D15" s="145"/>
      <c r="E15" s="139" t="s">
        <v>26</v>
      </c>
      <c r="F15" s="140"/>
      <c r="G15" s="139" t="s">
        <v>27</v>
      </c>
      <c r="H15" s="140"/>
      <c r="I15" s="148"/>
      <c r="J15" s="151"/>
      <c r="K15" s="6">
        <v>101</v>
      </c>
    </row>
    <row r="16" spans="1:11">
      <c r="A16" s="32" t="str">
        <f t="shared" si="2"/>
        <v>DM13102</v>
      </c>
      <c r="B16" s="93">
        <f t="shared" si="1"/>
        <v>43103</v>
      </c>
      <c r="C16" s="146"/>
      <c r="D16" s="145"/>
      <c r="E16" s="139" t="s">
        <v>28</v>
      </c>
      <c r="F16" s="140"/>
      <c r="G16" s="139" t="s">
        <v>29</v>
      </c>
      <c r="H16" s="140"/>
      <c r="I16" s="148"/>
      <c r="J16" s="151"/>
      <c r="K16" s="6">
        <v>102</v>
      </c>
    </row>
    <row r="17" spans="1:11" ht="15.75" customHeight="1">
      <c r="A17" s="32" t="str">
        <f t="shared" si="2"/>
        <v>DM13103</v>
      </c>
      <c r="B17" s="93">
        <f t="shared" si="1"/>
        <v>43104</v>
      </c>
      <c r="C17" s="144" t="s">
        <v>61</v>
      </c>
      <c r="D17" s="144" t="s">
        <v>81</v>
      </c>
      <c r="E17" s="165" t="s">
        <v>67</v>
      </c>
      <c r="F17" s="166"/>
      <c r="G17" s="167" t="s">
        <v>66</v>
      </c>
      <c r="H17" s="168"/>
      <c r="I17" s="147" t="s">
        <v>62</v>
      </c>
      <c r="J17" s="150" t="s">
        <v>63</v>
      </c>
      <c r="K17" s="6">
        <v>103</v>
      </c>
    </row>
    <row r="18" spans="1:11" ht="15.75" customHeight="1">
      <c r="A18" s="32" t="str">
        <f t="shared" si="2"/>
        <v>DM13104</v>
      </c>
      <c r="B18" s="93">
        <f t="shared" si="1"/>
        <v>43105</v>
      </c>
      <c r="C18" s="145"/>
      <c r="D18" s="145"/>
      <c r="E18" s="165" t="s">
        <v>69</v>
      </c>
      <c r="F18" s="166"/>
      <c r="G18" s="167" t="s">
        <v>68</v>
      </c>
      <c r="H18" s="168"/>
      <c r="I18" s="148"/>
      <c r="J18" s="151"/>
      <c r="K18" s="6">
        <v>104</v>
      </c>
    </row>
    <row r="19" spans="1:11" ht="15.75" customHeight="1">
      <c r="A19" s="32" t="str">
        <f t="shared" si="2"/>
        <v>DM13105</v>
      </c>
      <c r="B19" s="93">
        <f t="shared" si="1"/>
        <v>43106</v>
      </c>
      <c r="C19" s="145"/>
      <c r="D19" s="145"/>
      <c r="E19" s="165" t="s">
        <v>71</v>
      </c>
      <c r="F19" s="166"/>
      <c r="G19" s="167" t="s">
        <v>70</v>
      </c>
      <c r="H19" s="168"/>
      <c r="I19" s="148"/>
      <c r="J19" s="151"/>
      <c r="K19" s="6">
        <v>105</v>
      </c>
    </row>
    <row r="20" spans="1:11" ht="15.75" customHeight="1">
      <c r="A20" s="32" t="str">
        <f t="shared" si="2"/>
        <v>DM13106</v>
      </c>
      <c r="B20" s="93">
        <f t="shared" si="1"/>
        <v>43107</v>
      </c>
      <c r="C20" s="145"/>
      <c r="D20" s="145"/>
      <c r="E20" s="165" t="s">
        <v>73</v>
      </c>
      <c r="F20" s="166"/>
      <c r="G20" s="167" t="s">
        <v>72</v>
      </c>
      <c r="H20" s="168"/>
      <c r="I20" s="148"/>
      <c r="J20" s="151"/>
      <c r="K20" s="6">
        <v>106</v>
      </c>
    </row>
    <row r="21" spans="1:11" ht="15.75" customHeight="1">
      <c r="A21" s="32" t="str">
        <f t="shared" si="2"/>
        <v>DM13107</v>
      </c>
      <c r="B21" s="93">
        <f t="shared" si="1"/>
        <v>43108</v>
      </c>
      <c r="C21" s="145"/>
      <c r="D21" s="145"/>
      <c r="E21" s="165" t="s">
        <v>77</v>
      </c>
      <c r="F21" s="166"/>
      <c r="G21" s="167" t="s">
        <v>74</v>
      </c>
      <c r="H21" s="168"/>
      <c r="I21" s="148"/>
      <c r="J21" s="151"/>
      <c r="K21" s="6">
        <v>107</v>
      </c>
    </row>
    <row r="22" spans="1:11" ht="15.75" customHeight="1">
      <c r="A22" s="32" t="str">
        <f t="shared" si="2"/>
        <v>DM13108</v>
      </c>
      <c r="B22" s="93">
        <f t="shared" si="1"/>
        <v>43109</v>
      </c>
      <c r="C22" s="145"/>
      <c r="D22" s="145"/>
      <c r="E22" s="165" t="s">
        <v>78</v>
      </c>
      <c r="F22" s="166"/>
      <c r="G22" s="167" t="s">
        <v>75</v>
      </c>
      <c r="H22" s="168"/>
      <c r="I22" s="148"/>
      <c r="J22" s="151"/>
      <c r="K22" s="6">
        <v>108</v>
      </c>
    </row>
    <row r="23" spans="1:11" ht="15.75" customHeight="1">
      <c r="A23" s="32" t="str">
        <f t="shared" si="2"/>
        <v>DM13109</v>
      </c>
      <c r="B23" s="93">
        <f t="shared" si="1"/>
        <v>43110</v>
      </c>
      <c r="C23" s="146"/>
      <c r="D23" s="146"/>
      <c r="E23" s="165" t="s">
        <v>79</v>
      </c>
      <c r="F23" s="166"/>
      <c r="G23" s="167" t="s">
        <v>76</v>
      </c>
      <c r="H23" s="168"/>
      <c r="I23" s="149"/>
      <c r="J23" s="152"/>
      <c r="K23" s="6">
        <v>109</v>
      </c>
    </row>
    <row r="24" spans="1:11" ht="15.75" customHeight="1">
      <c r="A24" s="32" t="str">
        <f t="shared" si="2"/>
        <v>DM13110</v>
      </c>
      <c r="B24" s="93">
        <f t="shared" si="1"/>
        <v>43111</v>
      </c>
      <c r="C24" s="144" t="s">
        <v>80</v>
      </c>
      <c r="D24" s="144" t="s">
        <v>81</v>
      </c>
      <c r="E24" s="139" t="s">
        <v>25</v>
      </c>
      <c r="F24" s="140"/>
      <c r="G24" s="139" t="s">
        <v>65</v>
      </c>
      <c r="H24" s="140"/>
      <c r="I24" s="147" t="s">
        <v>83</v>
      </c>
      <c r="J24" s="150" t="s">
        <v>82</v>
      </c>
      <c r="K24" s="6">
        <v>110</v>
      </c>
    </row>
    <row r="25" spans="1:11" ht="15.75" customHeight="1">
      <c r="A25" s="32" t="str">
        <f t="shared" si="2"/>
        <v>DM13111</v>
      </c>
      <c r="B25" s="93">
        <f t="shared" si="1"/>
        <v>43112</v>
      </c>
      <c r="C25" s="145"/>
      <c r="D25" s="145"/>
      <c r="E25" s="139" t="s">
        <v>26</v>
      </c>
      <c r="F25" s="140"/>
      <c r="G25" s="139" t="s">
        <v>27</v>
      </c>
      <c r="H25" s="140"/>
      <c r="I25" s="148"/>
      <c r="J25" s="151"/>
      <c r="K25" s="6">
        <v>111</v>
      </c>
    </row>
    <row r="26" spans="1:11" ht="15.75" customHeight="1">
      <c r="A26" s="32" t="str">
        <f t="shared" si="2"/>
        <v>DM13112</v>
      </c>
      <c r="B26" s="93">
        <f t="shared" si="1"/>
        <v>43113</v>
      </c>
      <c r="C26" s="146"/>
      <c r="D26" s="146"/>
      <c r="E26" s="139" t="s">
        <v>28</v>
      </c>
      <c r="F26" s="140"/>
      <c r="G26" s="139" t="s">
        <v>29</v>
      </c>
      <c r="H26" s="140"/>
      <c r="I26" s="149"/>
      <c r="J26" s="152"/>
      <c r="K26" s="6">
        <v>112</v>
      </c>
    </row>
    <row r="27" spans="1:11" ht="15.75" customHeight="1">
      <c r="A27" s="32" t="str">
        <f t="shared" si="2"/>
        <v>DM13113</v>
      </c>
      <c r="B27" s="93">
        <f t="shared" si="1"/>
        <v>43114</v>
      </c>
      <c r="C27" s="144" t="s">
        <v>84</v>
      </c>
      <c r="D27" s="144" t="s">
        <v>81</v>
      </c>
      <c r="E27" s="139" t="s">
        <v>25</v>
      </c>
      <c r="F27" s="140"/>
      <c r="G27" s="139" t="s">
        <v>65</v>
      </c>
      <c r="H27" s="140"/>
      <c r="I27" s="147" t="s">
        <v>84</v>
      </c>
      <c r="J27" s="150" t="s">
        <v>85</v>
      </c>
      <c r="K27" s="6">
        <v>113</v>
      </c>
    </row>
    <row r="28" spans="1:11" ht="15.75" customHeight="1">
      <c r="A28" s="32" t="str">
        <f t="shared" si="2"/>
        <v>DM13114</v>
      </c>
      <c r="B28" s="93">
        <f t="shared" si="1"/>
        <v>43115</v>
      </c>
      <c r="C28" s="145"/>
      <c r="D28" s="145"/>
      <c r="E28" s="139" t="s">
        <v>26</v>
      </c>
      <c r="F28" s="140"/>
      <c r="G28" s="139" t="s">
        <v>27</v>
      </c>
      <c r="H28" s="140"/>
      <c r="I28" s="148"/>
      <c r="J28" s="151"/>
      <c r="K28" s="6">
        <v>114</v>
      </c>
    </row>
    <row r="29" spans="1:11" ht="15.75" customHeight="1">
      <c r="A29" s="32" t="str">
        <f t="shared" si="2"/>
        <v>DM13115</v>
      </c>
      <c r="B29" s="93">
        <f t="shared" si="1"/>
        <v>43116</v>
      </c>
      <c r="C29" s="145"/>
      <c r="D29" s="145"/>
      <c r="E29" s="139" t="s">
        <v>28</v>
      </c>
      <c r="F29" s="140"/>
      <c r="G29" s="139" t="s">
        <v>29</v>
      </c>
      <c r="H29" s="140"/>
      <c r="I29" s="148"/>
      <c r="J29" s="151"/>
      <c r="K29" s="6">
        <v>115</v>
      </c>
    </row>
    <row r="30" spans="1:11" ht="15.75" customHeight="1">
      <c r="A30" s="32" t="str">
        <f t="shared" si="2"/>
        <v>DM13116</v>
      </c>
      <c r="B30" s="93">
        <f t="shared" si="1"/>
        <v>43117</v>
      </c>
      <c r="C30" s="145"/>
      <c r="D30" s="145"/>
      <c r="E30" s="139" t="s">
        <v>30</v>
      </c>
      <c r="F30" s="140"/>
      <c r="G30" s="139" t="s">
        <v>31</v>
      </c>
      <c r="H30" s="140"/>
      <c r="I30" s="148"/>
      <c r="J30" s="151"/>
      <c r="K30" s="6">
        <v>116</v>
      </c>
    </row>
    <row r="31" spans="1:11" ht="15.75" customHeight="1">
      <c r="A31" s="32" t="str">
        <f t="shared" si="2"/>
        <v>DM13117</v>
      </c>
      <c r="B31" s="93">
        <f t="shared" si="1"/>
        <v>43118</v>
      </c>
      <c r="C31" s="145"/>
      <c r="D31" s="145"/>
      <c r="E31" s="139" t="s">
        <v>11</v>
      </c>
      <c r="F31" s="140"/>
      <c r="G31" s="139" t="s">
        <v>12</v>
      </c>
      <c r="H31" s="140"/>
      <c r="I31" s="148"/>
      <c r="J31" s="151"/>
      <c r="K31" s="6">
        <v>117</v>
      </c>
    </row>
    <row r="32" spans="1:11" ht="15.75" customHeight="1">
      <c r="A32" s="32" t="str">
        <f t="shared" si="2"/>
        <v>DM13118</v>
      </c>
      <c r="B32" s="93">
        <f t="shared" si="1"/>
        <v>43119</v>
      </c>
      <c r="C32" s="145"/>
      <c r="D32" s="145"/>
      <c r="E32" s="139" t="s">
        <v>13</v>
      </c>
      <c r="F32" s="140"/>
      <c r="G32" s="139" t="s">
        <v>14</v>
      </c>
      <c r="H32" s="140"/>
      <c r="I32" s="148"/>
      <c r="J32" s="151"/>
      <c r="K32" s="6">
        <v>118</v>
      </c>
    </row>
    <row r="33" spans="1:11" ht="15.75" customHeight="1">
      <c r="A33" s="32" t="str">
        <f t="shared" si="2"/>
        <v>DM13119</v>
      </c>
      <c r="B33" s="93">
        <f t="shared" si="1"/>
        <v>43120</v>
      </c>
      <c r="C33" s="145"/>
      <c r="D33" s="145"/>
      <c r="E33" s="139" t="s">
        <v>16</v>
      </c>
      <c r="F33" s="140"/>
      <c r="G33" s="139" t="s">
        <v>17</v>
      </c>
      <c r="H33" s="140"/>
      <c r="I33" s="148"/>
      <c r="J33" s="151"/>
      <c r="K33" s="6">
        <v>119</v>
      </c>
    </row>
    <row r="34" spans="1:11" ht="15.75" customHeight="1">
      <c r="A34" s="32" t="str">
        <f t="shared" si="2"/>
        <v>DM13120</v>
      </c>
      <c r="B34" s="93">
        <f t="shared" si="1"/>
        <v>43121</v>
      </c>
      <c r="C34" s="145"/>
      <c r="D34" s="145"/>
      <c r="E34" s="139" t="s">
        <v>18</v>
      </c>
      <c r="F34" s="140"/>
      <c r="G34" s="139" t="s">
        <v>19</v>
      </c>
      <c r="H34" s="140"/>
      <c r="I34" s="148"/>
      <c r="J34" s="151"/>
      <c r="K34" s="6">
        <v>120</v>
      </c>
    </row>
    <row r="35" spans="1:11" ht="15.75" customHeight="1">
      <c r="A35" s="32" t="str">
        <f t="shared" si="2"/>
        <v>DM13121</v>
      </c>
      <c r="B35" s="93">
        <f t="shared" si="1"/>
        <v>43122</v>
      </c>
      <c r="C35" s="145"/>
      <c r="D35" s="145"/>
      <c r="E35" s="139" t="s">
        <v>20</v>
      </c>
      <c r="F35" s="140"/>
      <c r="G35" s="139" t="s">
        <v>21</v>
      </c>
      <c r="H35" s="140"/>
      <c r="I35" s="148"/>
      <c r="J35" s="151"/>
      <c r="K35" s="6">
        <v>121</v>
      </c>
    </row>
    <row r="36" spans="1:11" ht="15.75" customHeight="1">
      <c r="A36" s="32" t="str">
        <f t="shared" si="2"/>
        <v>DM13122</v>
      </c>
      <c r="B36" s="93">
        <f t="shared" si="1"/>
        <v>43123</v>
      </c>
      <c r="C36" s="145"/>
      <c r="D36" s="145"/>
      <c r="E36" s="139" t="s">
        <v>22</v>
      </c>
      <c r="F36" s="140"/>
      <c r="G36" s="139" t="s">
        <v>23</v>
      </c>
      <c r="H36" s="140"/>
      <c r="I36" s="148"/>
      <c r="J36" s="151"/>
      <c r="K36" s="6">
        <v>122</v>
      </c>
    </row>
    <row r="37" spans="1:11" ht="15.75" customHeight="1">
      <c r="A37" s="32" t="str">
        <f t="shared" si="2"/>
        <v>DM13123</v>
      </c>
      <c r="B37" s="93">
        <f t="shared" si="1"/>
        <v>43124</v>
      </c>
      <c r="C37" s="145"/>
      <c r="D37" s="145"/>
      <c r="E37" s="139" t="s">
        <v>86</v>
      </c>
      <c r="F37" s="140"/>
      <c r="G37" s="139" t="s">
        <v>100</v>
      </c>
      <c r="H37" s="140"/>
      <c r="I37" s="148"/>
      <c r="J37" s="151"/>
      <c r="K37" s="6">
        <v>123</v>
      </c>
    </row>
    <row r="38" spans="1:11" ht="15.75" customHeight="1">
      <c r="A38" s="32" t="str">
        <f t="shared" si="2"/>
        <v>DM13124</v>
      </c>
      <c r="B38" s="93">
        <f t="shared" si="1"/>
        <v>43125</v>
      </c>
      <c r="C38" s="145"/>
      <c r="D38" s="145"/>
      <c r="E38" s="139" t="s">
        <v>87</v>
      </c>
      <c r="F38" s="140"/>
      <c r="G38" s="139" t="s">
        <v>101</v>
      </c>
      <c r="H38" s="140"/>
      <c r="I38" s="148"/>
      <c r="J38" s="151"/>
      <c r="K38" s="6">
        <v>124</v>
      </c>
    </row>
    <row r="39" spans="1:11" ht="15.75" customHeight="1">
      <c r="A39" s="32" t="str">
        <f t="shared" si="2"/>
        <v>DM13125</v>
      </c>
      <c r="B39" s="93">
        <f t="shared" si="1"/>
        <v>43126</v>
      </c>
      <c r="C39" s="145"/>
      <c r="D39" s="145"/>
      <c r="E39" s="139" t="s">
        <v>88</v>
      </c>
      <c r="F39" s="140"/>
      <c r="G39" s="139" t="s">
        <v>102</v>
      </c>
      <c r="H39" s="140"/>
      <c r="I39" s="148"/>
      <c r="J39" s="151"/>
      <c r="K39" s="6">
        <v>125</v>
      </c>
    </row>
    <row r="40" spans="1:11" ht="15.75" customHeight="1">
      <c r="A40" s="32" t="str">
        <f t="shared" si="2"/>
        <v>DM13126</v>
      </c>
      <c r="B40" s="93">
        <f t="shared" si="1"/>
        <v>43127</v>
      </c>
      <c r="C40" s="145"/>
      <c r="D40" s="145"/>
      <c r="E40" s="139" t="s">
        <v>89</v>
      </c>
      <c r="F40" s="140"/>
      <c r="G40" s="139" t="s">
        <v>103</v>
      </c>
      <c r="H40" s="140"/>
      <c r="I40" s="148"/>
      <c r="J40" s="151"/>
      <c r="K40" s="6">
        <v>126</v>
      </c>
    </row>
    <row r="41" spans="1:11" ht="15.75" customHeight="1">
      <c r="A41" s="32" t="str">
        <f t="shared" si="2"/>
        <v>DM13127</v>
      </c>
      <c r="B41" s="93">
        <f t="shared" si="1"/>
        <v>43128</v>
      </c>
      <c r="C41" s="145"/>
      <c r="D41" s="145"/>
      <c r="E41" s="139" t="s">
        <v>90</v>
      </c>
      <c r="F41" s="140"/>
      <c r="G41" s="139" t="s">
        <v>104</v>
      </c>
      <c r="H41" s="140"/>
      <c r="I41" s="148"/>
      <c r="J41" s="151"/>
      <c r="K41" s="6">
        <v>127</v>
      </c>
    </row>
    <row r="42" spans="1:11" ht="15.75" customHeight="1">
      <c r="A42" s="32" t="str">
        <f t="shared" si="2"/>
        <v>DM13128</v>
      </c>
      <c r="B42" s="93">
        <f t="shared" si="1"/>
        <v>43129</v>
      </c>
      <c r="C42" s="145"/>
      <c r="D42" s="145"/>
      <c r="E42" s="139" t="s">
        <v>91</v>
      </c>
      <c r="F42" s="140"/>
      <c r="G42" s="139" t="s">
        <v>105</v>
      </c>
      <c r="H42" s="140"/>
      <c r="I42" s="148"/>
      <c r="J42" s="151"/>
      <c r="K42" s="6">
        <v>128</v>
      </c>
    </row>
    <row r="43" spans="1:11" ht="15.75" customHeight="1">
      <c r="A43" s="32" t="str">
        <f t="shared" si="2"/>
        <v>DM13129</v>
      </c>
      <c r="B43" s="93">
        <f t="shared" si="1"/>
        <v>43130</v>
      </c>
      <c r="C43" s="145"/>
      <c r="D43" s="145"/>
      <c r="E43" s="139" t="s">
        <v>92</v>
      </c>
      <c r="F43" s="140"/>
      <c r="G43" s="139" t="s">
        <v>106</v>
      </c>
      <c r="H43" s="140"/>
      <c r="I43" s="148"/>
      <c r="J43" s="151"/>
      <c r="K43" s="6">
        <v>129</v>
      </c>
    </row>
    <row r="44" spans="1:11" ht="15.75" customHeight="1">
      <c r="A44" s="32" t="str">
        <f t="shared" si="2"/>
        <v>DM13130</v>
      </c>
      <c r="B44" s="93">
        <f t="shared" si="1"/>
        <v>43131</v>
      </c>
      <c r="C44" s="145"/>
      <c r="D44" s="145"/>
      <c r="E44" s="139" t="s">
        <v>93</v>
      </c>
      <c r="F44" s="140"/>
      <c r="G44" s="139" t="s">
        <v>107</v>
      </c>
      <c r="H44" s="140"/>
      <c r="I44" s="148"/>
      <c r="J44" s="151"/>
      <c r="K44" s="6">
        <v>130</v>
      </c>
    </row>
    <row r="45" spans="1:11" ht="15.75" customHeight="1">
      <c r="A45" s="32" t="str">
        <f t="shared" si="2"/>
        <v>DM13131</v>
      </c>
      <c r="B45" s="93">
        <f t="shared" si="1"/>
        <v>43132</v>
      </c>
      <c r="C45" s="145"/>
      <c r="D45" s="145"/>
      <c r="E45" s="139" t="s">
        <v>94</v>
      </c>
      <c r="F45" s="140"/>
      <c r="G45" s="139" t="s">
        <v>108</v>
      </c>
      <c r="H45" s="140"/>
      <c r="I45" s="148"/>
      <c r="J45" s="151"/>
      <c r="K45" s="6">
        <v>131</v>
      </c>
    </row>
    <row r="46" spans="1:11" ht="15.75" customHeight="1">
      <c r="A46" s="32" t="str">
        <f t="shared" si="2"/>
        <v>DM13132</v>
      </c>
      <c r="B46" s="93">
        <f t="shared" si="1"/>
        <v>43133</v>
      </c>
      <c r="C46" s="145"/>
      <c r="D46" s="145"/>
      <c r="E46" s="139" t="s">
        <v>95</v>
      </c>
      <c r="F46" s="140"/>
      <c r="G46" s="139" t="s">
        <v>109</v>
      </c>
      <c r="H46" s="140"/>
      <c r="I46" s="148"/>
      <c r="J46" s="151"/>
      <c r="K46" s="6">
        <v>132</v>
      </c>
    </row>
    <row r="47" spans="1:11" ht="15.75" customHeight="1">
      <c r="A47" s="32" t="str">
        <f t="shared" si="2"/>
        <v>DM13133</v>
      </c>
      <c r="B47" s="93">
        <f t="shared" si="1"/>
        <v>43134</v>
      </c>
      <c r="C47" s="145"/>
      <c r="D47" s="145"/>
      <c r="E47" s="139" t="s">
        <v>96</v>
      </c>
      <c r="F47" s="140"/>
      <c r="G47" s="139" t="s">
        <v>110</v>
      </c>
      <c r="H47" s="140"/>
      <c r="I47" s="148"/>
      <c r="J47" s="151"/>
      <c r="K47" s="6">
        <v>133</v>
      </c>
    </row>
    <row r="48" spans="1:11" ht="15.75" customHeight="1">
      <c r="A48" s="32" t="str">
        <f t="shared" si="2"/>
        <v>DM13134</v>
      </c>
      <c r="B48" s="93">
        <f t="shared" si="1"/>
        <v>43135</v>
      </c>
      <c r="C48" s="145"/>
      <c r="D48" s="145"/>
      <c r="E48" s="139" t="s">
        <v>97</v>
      </c>
      <c r="F48" s="140"/>
      <c r="G48" s="139" t="s">
        <v>111</v>
      </c>
      <c r="H48" s="140"/>
      <c r="I48" s="148"/>
      <c r="J48" s="151"/>
      <c r="K48" s="6">
        <v>134</v>
      </c>
    </row>
    <row r="49" spans="1:11" ht="15.75" customHeight="1">
      <c r="A49" s="32" t="str">
        <f t="shared" si="2"/>
        <v>DM13135</v>
      </c>
      <c r="B49" s="93">
        <f t="shared" si="1"/>
        <v>43136</v>
      </c>
      <c r="C49" s="145"/>
      <c r="D49" s="145"/>
      <c r="E49" s="139" t="s">
        <v>98</v>
      </c>
      <c r="F49" s="140"/>
      <c r="G49" s="139" t="s">
        <v>112</v>
      </c>
      <c r="H49" s="140"/>
      <c r="I49" s="148"/>
      <c r="J49" s="151"/>
      <c r="K49" s="6">
        <v>135</v>
      </c>
    </row>
    <row r="50" spans="1:11" ht="15.75" customHeight="1">
      <c r="A50" s="32" t="str">
        <f t="shared" si="2"/>
        <v>DM13136</v>
      </c>
      <c r="B50" s="93">
        <f t="shared" si="1"/>
        <v>43137</v>
      </c>
      <c r="C50" s="146"/>
      <c r="D50" s="146"/>
      <c r="E50" s="139" t="s">
        <v>99</v>
      </c>
      <c r="F50" s="140"/>
      <c r="G50" s="139" t="s">
        <v>113</v>
      </c>
      <c r="H50" s="140"/>
      <c r="I50" s="149"/>
      <c r="J50" s="152"/>
      <c r="K50" s="6">
        <v>136</v>
      </c>
    </row>
    <row r="51" spans="1:11" ht="15.75" customHeight="1">
      <c r="A51" s="32" t="str">
        <f t="shared" si="2"/>
        <v>DM13137</v>
      </c>
      <c r="B51" s="93">
        <f t="shared" si="1"/>
        <v>43138</v>
      </c>
      <c r="C51" s="41" t="s">
        <v>0</v>
      </c>
      <c r="D51" s="73"/>
      <c r="E51" s="95"/>
      <c r="F51" s="56"/>
      <c r="G51" s="56"/>
      <c r="H51" s="56"/>
      <c r="I51" s="100"/>
      <c r="J51" s="101"/>
      <c r="K51" s="6">
        <v>137</v>
      </c>
    </row>
    <row r="52" spans="1:11" ht="15.75" customHeight="1">
      <c r="A52" s="32" t="str">
        <f t="shared" si="2"/>
        <v>DM13138</v>
      </c>
      <c r="B52" s="93">
        <f t="shared" si="1"/>
        <v>43139</v>
      </c>
      <c r="C52" s="41" t="s">
        <v>0</v>
      </c>
      <c r="D52" s="73"/>
      <c r="E52" s="95"/>
      <c r="F52" s="56"/>
      <c r="G52" s="56"/>
      <c r="H52" s="56"/>
      <c r="I52" s="100"/>
      <c r="J52" s="101"/>
      <c r="K52" s="6">
        <v>138</v>
      </c>
    </row>
    <row r="53" spans="1:11" ht="15.75" customHeight="1">
      <c r="A53" s="32" t="str">
        <f t="shared" si="2"/>
        <v>DM13139</v>
      </c>
      <c r="B53" s="93">
        <f t="shared" si="1"/>
        <v>43140</v>
      </c>
      <c r="C53" s="41" t="s">
        <v>0</v>
      </c>
      <c r="D53" s="73"/>
      <c r="E53" s="95"/>
      <c r="F53" s="56"/>
      <c r="G53" s="56"/>
      <c r="H53" s="56"/>
      <c r="I53" s="100"/>
      <c r="J53" s="101"/>
      <c r="K53" s="6">
        <v>139</v>
      </c>
    </row>
    <row r="54" spans="1:11" ht="15.75" customHeight="1">
      <c r="A54" s="32" t="str">
        <f t="shared" si="2"/>
        <v>DM13140</v>
      </c>
      <c r="B54" s="93">
        <f t="shared" si="1"/>
        <v>43141</v>
      </c>
      <c r="C54" s="41" t="s">
        <v>0</v>
      </c>
      <c r="D54" s="73"/>
      <c r="E54" s="95"/>
      <c r="F54" s="56"/>
      <c r="G54" s="56"/>
      <c r="H54" s="56"/>
      <c r="I54" s="100"/>
      <c r="J54" s="101"/>
      <c r="K54" s="6">
        <v>140</v>
      </c>
    </row>
    <row r="55" spans="1:11" ht="15.75" customHeight="1">
      <c r="A55" s="32" t="str">
        <f t="shared" si="2"/>
        <v>DM13141</v>
      </c>
      <c r="B55" s="93">
        <f t="shared" si="1"/>
        <v>43142</v>
      </c>
      <c r="C55" s="41" t="s">
        <v>0</v>
      </c>
      <c r="D55" s="73"/>
      <c r="E55" s="95"/>
      <c r="F55" s="56"/>
      <c r="G55" s="56"/>
      <c r="H55" s="56"/>
      <c r="I55" s="100"/>
      <c r="J55" s="101"/>
      <c r="K55" s="6">
        <v>141</v>
      </c>
    </row>
    <row r="56" spans="1:11" ht="15.75" customHeight="1">
      <c r="A56" s="32" t="str">
        <f t="shared" si="2"/>
        <v>DM13142</v>
      </c>
      <c r="B56" s="93">
        <f t="shared" si="1"/>
        <v>43143</v>
      </c>
      <c r="C56" s="41" t="s">
        <v>0</v>
      </c>
      <c r="D56" s="73"/>
      <c r="E56" s="95"/>
      <c r="F56" s="56"/>
      <c r="G56" s="56"/>
      <c r="H56" s="56"/>
      <c r="I56" s="100"/>
      <c r="J56" s="101"/>
      <c r="K56" s="6">
        <v>142</v>
      </c>
    </row>
    <row r="57" spans="1:11" ht="15.75" customHeight="1">
      <c r="A57" s="32" t="str">
        <f t="shared" si="2"/>
        <v>DM13143</v>
      </c>
      <c r="B57" s="93">
        <f t="shared" si="1"/>
        <v>43144</v>
      </c>
      <c r="C57" s="94" t="s">
        <v>114</v>
      </c>
      <c r="D57" s="73" t="s">
        <v>116</v>
      </c>
      <c r="E57" s="60">
        <v>0</v>
      </c>
      <c r="F57" s="61">
        <v>0</v>
      </c>
      <c r="G57" s="61">
        <v>0</v>
      </c>
      <c r="H57" s="114" t="s">
        <v>262</v>
      </c>
      <c r="I57" s="100" t="s">
        <v>159</v>
      </c>
      <c r="J57" s="101" t="s">
        <v>156</v>
      </c>
      <c r="K57" s="6">
        <v>143</v>
      </c>
    </row>
    <row r="58" spans="1:11" ht="15.75" customHeight="1">
      <c r="A58" s="32" t="str">
        <f t="shared" si="2"/>
        <v>DM13144</v>
      </c>
      <c r="B58" s="93">
        <f t="shared" si="1"/>
        <v>43145</v>
      </c>
      <c r="C58" s="94" t="s">
        <v>194</v>
      </c>
      <c r="D58" s="102" t="s">
        <v>116</v>
      </c>
      <c r="E58" s="61">
        <v>0</v>
      </c>
      <c r="F58" s="61">
        <v>0</v>
      </c>
      <c r="G58" s="99" t="s">
        <v>198</v>
      </c>
      <c r="H58" s="99" t="s">
        <v>198</v>
      </c>
      <c r="I58" s="100" t="s">
        <v>199</v>
      </c>
      <c r="J58" s="101" t="s">
        <v>200</v>
      </c>
      <c r="K58" s="6">
        <v>144</v>
      </c>
    </row>
    <row r="59" spans="1:11" ht="15.75" customHeight="1">
      <c r="A59" s="32" t="str">
        <f t="shared" si="2"/>
        <v>DM13145</v>
      </c>
      <c r="B59" s="93">
        <f t="shared" si="1"/>
        <v>43146</v>
      </c>
      <c r="C59" s="41" t="s">
        <v>0</v>
      </c>
      <c r="D59" s="73"/>
      <c r="E59" s="95"/>
      <c r="F59" s="56"/>
      <c r="G59" s="56"/>
      <c r="H59" s="56"/>
      <c r="I59" s="100"/>
      <c r="J59" s="101"/>
      <c r="K59" s="6">
        <v>145</v>
      </c>
    </row>
    <row r="60" spans="1:11" ht="15.75" customHeight="1">
      <c r="A60" s="32" t="str">
        <f t="shared" si="2"/>
        <v>DM13146</v>
      </c>
      <c r="B60" s="93">
        <f t="shared" si="1"/>
        <v>43147</v>
      </c>
      <c r="C60" s="41" t="s">
        <v>0</v>
      </c>
      <c r="D60" s="73"/>
      <c r="E60" s="95"/>
      <c r="F60" s="56"/>
      <c r="G60" s="56"/>
      <c r="H60" s="56"/>
      <c r="I60" s="100"/>
      <c r="J60" s="101"/>
      <c r="K60" s="6">
        <v>146</v>
      </c>
    </row>
    <row r="61" spans="1:11" ht="15.75" customHeight="1">
      <c r="A61" s="32" t="str">
        <f t="shared" si="2"/>
        <v>DM13147</v>
      </c>
      <c r="B61" s="93">
        <f t="shared" si="1"/>
        <v>43148</v>
      </c>
      <c r="C61" s="41" t="s">
        <v>0</v>
      </c>
      <c r="D61" s="73"/>
      <c r="E61" s="95"/>
      <c r="F61" s="56"/>
      <c r="G61" s="56"/>
      <c r="H61" s="56"/>
      <c r="I61" s="100"/>
      <c r="J61" s="101"/>
      <c r="K61" s="6">
        <v>147</v>
      </c>
    </row>
    <row r="62" spans="1:11" ht="15.75" customHeight="1">
      <c r="A62" s="32" t="str">
        <f t="shared" si="2"/>
        <v>DM13148</v>
      </c>
      <c r="B62" s="93">
        <f t="shared" si="1"/>
        <v>43149</v>
      </c>
      <c r="C62" s="41" t="s">
        <v>0</v>
      </c>
      <c r="D62" s="73"/>
      <c r="E62" s="95"/>
      <c r="F62" s="56"/>
      <c r="G62" s="56"/>
      <c r="H62" s="56"/>
      <c r="I62" s="100"/>
      <c r="J62" s="101"/>
      <c r="K62" s="6">
        <v>148</v>
      </c>
    </row>
    <row r="63" spans="1:11" ht="15.75" customHeight="1" thickBot="1">
      <c r="A63" s="32" t="str">
        <f t="shared" si="2"/>
        <v>DM13149</v>
      </c>
      <c r="B63" s="93">
        <f t="shared" si="1"/>
        <v>43150</v>
      </c>
      <c r="C63" s="41" t="s">
        <v>0</v>
      </c>
      <c r="D63" s="73"/>
      <c r="E63" s="95"/>
      <c r="F63" s="56"/>
      <c r="G63" s="56"/>
      <c r="H63" s="56"/>
      <c r="I63" s="100"/>
      <c r="J63" s="101"/>
      <c r="K63" s="6">
        <v>149</v>
      </c>
    </row>
    <row r="64" spans="1:11" ht="15.75" customHeight="1">
      <c r="A64" s="141" t="s">
        <v>149</v>
      </c>
      <c r="B64" s="142"/>
      <c r="C64" s="142"/>
      <c r="D64" s="142"/>
      <c r="E64" s="142"/>
      <c r="F64" s="142"/>
      <c r="G64" s="142"/>
      <c r="H64" s="142"/>
      <c r="I64" s="142"/>
      <c r="J64" s="143"/>
    </row>
    <row r="65" spans="1:11" ht="15" customHeight="1">
      <c r="A65" s="32" t="str">
        <f t="shared" ref="A65:A128" si="3">LEFT($D$3, 2) &amp; (MID($D$3, 3, LEN($D$3)) + K65)</f>
        <v>DM13150</v>
      </c>
      <c r="B65" s="93">
        <f t="shared" ref="B65:B128" si="4">$D$4+K65</f>
        <v>43151</v>
      </c>
      <c r="C65" s="144" t="s">
        <v>59</v>
      </c>
      <c r="D65" s="144" t="s">
        <v>58</v>
      </c>
      <c r="E65" s="139" t="s">
        <v>25</v>
      </c>
      <c r="F65" s="140"/>
      <c r="G65" s="139" t="s">
        <v>65</v>
      </c>
      <c r="H65" s="140"/>
      <c r="I65" s="147" t="s">
        <v>60</v>
      </c>
      <c r="J65" s="150" t="s">
        <v>82</v>
      </c>
      <c r="K65" s="6">
        <v>150</v>
      </c>
    </row>
    <row r="66" spans="1:11" ht="15" customHeight="1">
      <c r="A66" s="32" t="str">
        <f t="shared" si="3"/>
        <v>DM13151</v>
      </c>
      <c r="B66" s="93">
        <f t="shared" si="4"/>
        <v>43152</v>
      </c>
      <c r="C66" s="145"/>
      <c r="D66" s="145"/>
      <c r="E66" s="139" t="s">
        <v>26</v>
      </c>
      <c r="F66" s="140"/>
      <c r="G66" s="139" t="s">
        <v>27</v>
      </c>
      <c r="H66" s="140"/>
      <c r="I66" s="148"/>
      <c r="J66" s="151"/>
      <c r="K66" s="6">
        <v>151</v>
      </c>
    </row>
    <row r="67" spans="1:11" ht="15" customHeight="1">
      <c r="A67" s="32" t="str">
        <f t="shared" si="3"/>
        <v>DM13152</v>
      </c>
      <c r="B67" s="93">
        <f t="shared" si="4"/>
        <v>43153</v>
      </c>
      <c r="C67" s="146"/>
      <c r="D67" s="145"/>
      <c r="E67" s="139" t="s">
        <v>28</v>
      </c>
      <c r="F67" s="140"/>
      <c r="G67" s="139" t="s">
        <v>29</v>
      </c>
      <c r="H67" s="140"/>
      <c r="I67" s="148"/>
      <c r="J67" s="151"/>
      <c r="K67" s="6">
        <v>152</v>
      </c>
    </row>
    <row r="68" spans="1:11">
      <c r="A68" s="32" t="str">
        <f t="shared" si="3"/>
        <v>DM13153</v>
      </c>
      <c r="B68" s="93">
        <f t="shared" si="4"/>
        <v>43154</v>
      </c>
      <c r="C68" s="144" t="s">
        <v>61</v>
      </c>
      <c r="D68" s="144" t="s">
        <v>81</v>
      </c>
      <c r="E68" s="165" t="s">
        <v>67</v>
      </c>
      <c r="F68" s="166"/>
      <c r="G68" s="167" t="s">
        <v>66</v>
      </c>
      <c r="H68" s="168"/>
      <c r="I68" s="147" t="s">
        <v>62</v>
      </c>
      <c r="J68" s="150" t="s">
        <v>63</v>
      </c>
      <c r="K68" s="6">
        <v>153</v>
      </c>
    </row>
    <row r="69" spans="1:11">
      <c r="A69" s="32" t="str">
        <f t="shared" si="3"/>
        <v>DM13154</v>
      </c>
      <c r="B69" s="93">
        <f t="shared" si="4"/>
        <v>43155</v>
      </c>
      <c r="C69" s="145"/>
      <c r="D69" s="145"/>
      <c r="E69" s="165" t="s">
        <v>69</v>
      </c>
      <c r="F69" s="166"/>
      <c r="G69" s="167" t="s">
        <v>68</v>
      </c>
      <c r="H69" s="168"/>
      <c r="I69" s="148"/>
      <c r="J69" s="151"/>
      <c r="K69" s="6">
        <v>154</v>
      </c>
    </row>
    <row r="70" spans="1:11">
      <c r="A70" s="32" t="str">
        <f t="shared" si="3"/>
        <v>DM13155</v>
      </c>
      <c r="B70" s="93">
        <f t="shared" si="4"/>
        <v>43156</v>
      </c>
      <c r="C70" s="145"/>
      <c r="D70" s="145"/>
      <c r="E70" s="165" t="s">
        <v>71</v>
      </c>
      <c r="F70" s="166"/>
      <c r="G70" s="167" t="s">
        <v>70</v>
      </c>
      <c r="H70" s="168"/>
      <c r="I70" s="148"/>
      <c r="J70" s="151"/>
      <c r="K70" s="6">
        <v>155</v>
      </c>
    </row>
    <row r="71" spans="1:11">
      <c r="A71" s="32" t="str">
        <f t="shared" si="3"/>
        <v>DM13156</v>
      </c>
      <c r="B71" s="93">
        <f t="shared" si="4"/>
        <v>43157</v>
      </c>
      <c r="C71" s="145"/>
      <c r="D71" s="145"/>
      <c r="E71" s="165" t="s">
        <v>73</v>
      </c>
      <c r="F71" s="166"/>
      <c r="G71" s="167" t="s">
        <v>72</v>
      </c>
      <c r="H71" s="168"/>
      <c r="I71" s="148"/>
      <c r="J71" s="151"/>
      <c r="K71" s="6">
        <v>156</v>
      </c>
    </row>
    <row r="72" spans="1:11">
      <c r="A72" s="32" t="str">
        <f t="shared" si="3"/>
        <v>DM13157</v>
      </c>
      <c r="B72" s="93">
        <f t="shared" si="4"/>
        <v>43158</v>
      </c>
      <c r="C72" s="145"/>
      <c r="D72" s="145"/>
      <c r="E72" s="165" t="s">
        <v>77</v>
      </c>
      <c r="F72" s="166"/>
      <c r="G72" s="167" t="s">
        <v>74</v>
      </c>
      <c r="H72" s="168"/>
      <c r="I72" s="148"/>
      <c r="J72" s="151"/>
      <c r="K72" s="6">
        <v>157</v>
      </c>
    </row>
    <row r="73" spans="1:11">
      <c r="A73" s="32" t="str">
        <f t="shared" si="3"/>
        <v>DM13158</v>
      </c>
      <c r="B73" s="93">
        <f t="shared" si="4"/>
        <v>43159</v>
      </c>
      <c r="C73" s="145"/>
      <c r="D73" s="145"/>
      <c r="E73" s="165" t="s">
        <v>78</v>
      </c>
      <c r="F73" s="166"/>
      <c r="G73" s="167" t="s">
        <v>75</v>
      </c>
      <c r="H73" s="168"/>
      <c r="I73" s="148"/>
      <c r="J73" s="151"/>
      <c r="K73" s="6">
        <v>158</v>
      </c>
    </row>
    <row r="74" spans="1:11">
      <c r="A74" s="32" t="str">
        <f t="shared" si="3"/>
        <v>DM13159</v>
      </c>
      <c r="B74" s="93">
        <f t="shared" si="4"/>
        <v>43160</v>
      </c>
      <c r="C74" s="146"/>
      <c r="D74" s="146"/>
      <c r="E74" s="165" t="s">
        <v>79</v>
      </c>
      <c r="F74" s="166"/>
      <c r="G74" s="167" t="s">
        <v>76</v>
      </c>
      <c r="H74" s="168"/>
      <c r="I74" s="149"/>
      <c r="J74" s="152"/>
      <c r="K74" s="6">
        <v>159</v>
      </c>
    </row>
    <row r="75" spans="1:11">
      <c r="A75" s="32" t="str">
        <f t="shared" si="3"/>
        <v>DM13160</v>
      </c>
      <c r="B75" s="93">
        <f t="shared" si="4"/>
        <v>43161</v>
      </c>
      <c r="C75" s="144" t="s">
        <v>80</v>
      </c>
      <c r="D75" s="144" t="s">
        <v>81</v>
      </c>
      <c r="E75" s="139" t="s">
        <v>25</v>
      </c>
      <c r="F75" s="140"/>
      <c r="G75" s="139" t="s">
        <v>65</v>
      </c>
      <c r="H75" s="140"/>
      <c r="I75" s="147" t="s">
        <v>83</v>
      </c>
      <c r="J75" s="150" t="s">
        <v>82</v>
      </c>
      <c r="K75" s="6">
        <v>160</v>
      </c>
    </row>
    <row r="76" spans="1:11">
      <c r="A76" s="32" t="str">
        <f t="shared" si="3"/>
        <v>DM13161</v>
      </c>
      <c r="B76" s="93">
        <f t="shared" si="4"/>
        <v>43162</v>
      </c>
      <c r="C76" s="145"/>
      <c r="D76" s="145"/>
      <c r="E76" s="139" t="s">
        <v>26</v>
      </c>
      <c r="F76" s="140"/>
      <c r="G76" s="139" t="s">
        <v>27</v>
      </c>
      <c r="H76" s="140"/>
      <c r="I76" s="148"/>
      <c r="J76" s="151"/>
      <c r="K76" s="6">
        <v>161</v>
      </c>
    </row>
    <row r="77" spans="1:11">
      <c r="A77" s="32" t="str">
        <f t="shared" si="3"/>
        <v>DM13162</v>
      </c>
      <c r="B77" s="93">
        <f t="shared" si="4"/>
        <v>43163</v>
      </c>
      <c r="C77" s="146"/>
      <c r="D77" s="146"/>
      <c r="E77" s="139" t="s">
        <v>28</v>
      </c>
      <c r="F77" s="140"/>
      <c r="G77" s="139" t="s">
        <v>29</v>
      </c>
      <c r="H77" s="140"/>
      <c r="I77" s="149"/>
      <c r="J77" s="152"/>
      <c r="K77" s="6">
        <v>162</v>
      </c>
    </row>
    <row r="78" spans="1:11">
      <c r="A78" s="32" t="str">
        <f t="shared" si="3"/>
        <v>DM13163</v>
      </c>
      <c r="B78" s="93">
        <f t="shared" si="4"/>
        <v>43164</v>
      </c>
      <c r="C78" s="144" t="s">
        <v>119</v>
      </c>
      <c r="D78" s="144" t="s">
        <v>58</v>
      </c>
      <c r="E78" s="139" t="s">
        <v>25</v>
      </c>
      <c r="F78" s="140"/>
      <c r="G78" s="139" t="s">
        <v>65</v>
      </c>
      <c r="H78" s="140"/>
      <c r="I78" s="147" t="s">
        <v>120</v>
      </c>
      <c r="J78" s="150" t="s">
        <v>64</v>
      </c>
      <c r="K78" s="6">
        <v>163</v>
      </c>
    </row>
    <row r="79" spans="1:11">
      <c r="A79" s="32" t="str">
        <f t="shared" si="3"/>
        <v>DM13164</v>
      </c>
      <c r="B79" s="93">
        <f t="shared" si="4"/>
        <v>43165</v>
      </c>
      <c r="C79" s="145"/>
      <c r="D79" s="145"/>
      <c r="E79" s="139" t="s">
        <v>26</v>
      </c>
      <c r="F79" s="140"/>
      <c r="G79" s="139" t="s">
        <v>27</v>
      </c>
      <c r="H79" s="140"/>
      <c r="I79" s="148"/>
      <c r="J79" s="151"/>
      <c r="K79" s="6">
        <v>164</v>
      </c>
    </row>
    <row r="80" spans="1:11">
      <c r="A80" s="32" t="str">
        <f t="shared" si="3"/>
        <v>DM13165</v>
      </c>
      <c r="B80" s="93">
        <f t="shared" si="4"/>
        <v>43166</v>
      </c>
      <c r="C80" s="145"/>
      <c r="D80" s="145"/>
      <c r="E80" s="139" t="s">
        <v>28</v>
      </c>
      <c r="F80" s="140"/>
      <c r="G80" s="139" t="s">
        <v>29</v>
      </c>
      <c r="H80" s="140"/>
      <c r="I80" s="148"/>
      <c r="J80" s="151"/>
      <c r="K80" s="6">
        <v>165</v>
      </c>
    </row>
    <row r="81" spans="1:11">
      <c r="A81" s="32" t="str">
        <f t="shared" si="3"/>
        <v>DM13166</v>
      </c>
      <c r="B81" s="93">
        <f t="shared" si="4"/>
        <v>43167</v>
      </c>
      <c r="C81" s="145"/>
      <c r="D81" s="145"/>
      <c r="E81" s="139" t="s">
        <v>30</v>
      </c>
      <c r="F81" s="140"/>
      <c r="G81" s="139" t="s">
        <v>31</v>
      </c>
      <c r="H81" s="140"/>
      <c r="I81" s="148"/>
      <c r="J81" s="151"/>
      <c r="K81" s="6">
        <v>166</v>
      </c>
    </row>
    <row r="82" spans="1:11">
      <c r="A82" s="32" t="str">
        <f t="shared" si="3"/>
        <v>DM13167</v>
      </c>
      <c r="B82" s="93">
        <f t="shared" si="4"/>
        <v>43168</v>
      </c>
      <c r="C82" s="145"/>
      <c r="D82" s="145"/>
      <c r="E82" s="139" t="s">
        <v>11</v>
      </c>
      <c r="F82" s="140"/>
      <c r="G82" s="139" t="s">
        <v>12</v>
      </c>
      <c r="H82" s="140"/>
      <c r="I82" s="148"/>
      <c r="J82" s="151"/>
      <c r="K82" s="6">
        <v>167</v>
      </c>
    </row>
    <row r="83" spans="1:11">
      <c r="A83" s="32" t="str">
        <f t="shared" si="3"/>
        <v>DM13168</v>
      </c>
      <c r="B83" s="93">
        <f t="shared" si="4"/>
        <v>43169</v>
      </c>
      <c r="C83" s="145"/>
      <c r="D83" s="145"/>
      <c r="E83" s="139" t="s">
        <v>13</v>
      </c>
      <c r="F83" s="140"/>
      <c r="G83" s="139" t="s">
        <v>14</v>
      </c>
      <c r="H83" s="140"/>
      <c r="I83" s="148"/>
      <c r="J83" s="151"/>
      <c r="K83" s="6">
        <v>168</v>
      </c>
    </row>
    <row r="84" spans="1:11">
      <c r="A84" s="32" t="str">
        <f t="shared" si="3"/>
        <v>DM13169</v>
      </c>
      <c r="B84" s="93">
        <f t="shared" si="4"/>
        <v>43170</v>
      </c>
      <c r="C84" s="145"/>
      <c r="D84" s="145"/>
      <c r="E84" s="139" t="s">
        <v>16</v>
      </c>
      <c r="F84" s="140"/>
      <c r="G84" s="139" t="s">
        <v>17</v>
      </c>
      <c r="H84" s="140"/>
      <c r="I84" s="148"/>
      <c r="J84" s="151"/>
      <c r="K84" s="6">
        <v>169</v>
      </c>
    </row>
    <row r="85" spans="1:11">
      <c r="A85" s="32" t="str">
        <f t="shared" si="3"/>
        <v>DM13170</v>
      </c>
      <c r="B85" s="93">
        <f t="shared" si="4"/>
        <v>43171</v>
      </c>
      <c r="C85" s="145"/>
      <c r="D85" s="145"/>
      <c r="E85" s="139" t="s">
        <v>18</v>
      </c>
      <c r="F85" s="140"/>
      <c r="G85" s="139" t="s">
        <v>19</v>
      </c>
      <c r="H85" s="140"/>
      <c r="I85" s="148"/>
      <c r="J85" s="151"/>
      <c r="K85" s="6">
        <v>170</v>
      </c>
    </row>
    <row r="86" spans="1:11">
      <c r="A86" s="32" t="str">
        <f t="shared" si="3"/>
        <v>DM13171</v>
      </c>
      <c r="B86" s="93">
        <f t="shared" si="4"/>
        <v>43172</v>
      </c>
      <c r="C86" s="145"/>
      <c r="D86" s="145"/>
      <c r="E86" s="139" t="s">
        <v>20</v>
      </c>
      <c r="F86" s="140"/>
      <c r="G86" s="139" t="s">
        <v>21</v>
      </c>
      <c r="H86" s="140"/>
      <c r="I86" s="148"/>
      <c r="J86" s="151"/>
      <c r="K86" s="6">
        <v>171</v>
      </c>
    </row>
    <row r="87" spans="1:11">
      <c r="A87" s="32" t="str">
        <f t="shared" si="3"/>
        <v>DM13172</v>
      </c>
      <c r="B87" s="93">
        <f t="shared" si="4"/>
        <v>43173</v>
      </c>
      <c r="C87" s="146"/>
      <c r="D87" s="146"/>
      <c r="E87" s="139" t="s">
        <v>22</v>
      </c>
      <c r="F87" s="140"/>
      <c r="G87" s="139" t="s">
        <v>23</v>
      </c>
      <c r="H87" s="140"/>
      <c r="I87" s="149"/>
      <c r="J87" s="152"/>
      <c r="K87" s="6">
        <v>172</v>
      </c>
    </row>
    <row r="88" spans="1:11">
      <c r="A88" s="32" t="str">
        <f t="shared" si="3"/>
        <v>DM13173</v>
      </c>
      <c r="B88" s="93">
        <f t="shared" si="4"/>
        <v>43174</v>
      </c>
      <c r="C88" s="144" t="s">
        <v>121</v>
      </c>
      <c r="D88" s="144" t="s">
        <v>58</v>
      </c>
      <c r="E88" s="139" t="s">
        <v>25</v>
      </c>
      <c r="F88" s="140"/>
      <c r="G88" s="139" t="s">
        <v>65</v>
      </c>
      <c r="H88" s="140"/>
      <c r="I88" s="147" t="s">
        <v>1</v>
      </c>
      <c r="J88" s="150" t="s">
        <v>64</v>
      </c>
      <c r="K88" s="6">
        <v>173</v>
      </c>
    </row>
    <row r="89" spans="1:11">
      <c r="A89" s="32" t="str">
        <f t="shared" si="3"/>
        <v>DM13174</v>
      </c>
      <c r="B89" s="93">
        <f t="shared" si="4"/>
        <v>43175</v>
      </c>
      <c r="C89" s="145"/>
      <c r="D89" s="145"/>
      <c r="E89" s="139" t="s">
        <v>26</v>
      </c>
      <c r="F89" s="140"/>
      <c r="G89" s="139" t="s">
        <v>27</v>
      </c>
      <c r="H89" s="140"/>
      <c r="I89" s="148"/>
      <c r="J89" s="151"/>
      <c r="K89" s="6">
        <v>174</v>
      </c>
    </row>
    <row r="90" spans="1:11">
      <c r="A90" s="32" t="str">
        <f t="shared" si="3"/>
        <v>DM13175</v>
      </c>
      <c r="B90" s="93">
        <f t="shared" si="4"/>
        <v>43176</v>
      </c>
      <c r="C90" s="145"/>
      <c r="D90" s="145"/>
      <c r="E90" s="139" t="s">
        <v>28</v>
      </c>
      <c r="F90" s="140"/>
      <c r="G90" s="139" t="s">
        <v>29</v>
      </c>
      <c r="H90" s="140"/>
      <c r="I90" s="148"/>
      <c r="J90" s="151"/>
      <c r="K90" s="6">
        <v>175</v>
      </c>
    </row>
    <row r="91" spans="1:11">
      <c r="A91" s="32" t="str">
        <f t="shared" si="3"/>
        <v>DM13176</v>
      </c>
      <c r="B91" s="93">
        <f t="shared" si="4"/>
        <v>43177</v>
      </c>
      <c r="C91" s="145"/>
      <c r="D91" s="145"/>
      <c r="E91" s="139" t="s">
        <v>30</v>
      </c>
      <c r="F91" s="140"/>
      <c r="G91" s="139" t="s">
        <v>31</v>
      </c>
      <c r="H91" s="140"/>
      <c r="I91" s="148"/>
      <c r="J91" s="151"/>
      <c r="K91" s="6">
        <v>176</v>
      </c>
    </row>
    <row r="92" spans="1:11">
      <c r="A92" s="32" t="str">
        <f t="shared" si="3"/>
        <v>DM13177</v>
      </c>
      <c r="B92" s="93">
        <f t="shared" si="4"/>
        <v>43178</v>
      </c>
      <c r="C92" s="145"/>
      <c r="D92" s="145"/>
      <c r="E92" s="139" t="s">
        <v>11</v>
      </c>
      <c r="F92" s="140"/>
      <c r="G92" s="139" t="s">
        <v>12</v>
      </c>
      <c r="H92" s="140"/>
      <c r="I92" s="148"/>
      <c r="J92" s="151"/>
      <c r="K92" s="6">
        <v>177</v>
      </c>
    </row>
    <row r="93" spans="1:11">
      <c r="A93" s="32" t="str">
        <f t="shared" si="3"/>
        <v>DM13178</v>
      </c>
      <c r="B93" s="93">
        <f t="shared" si="4"/>
        <v>43179</v>
      </c>
      <c r="C93" s="145"/>
      <c r="D93" s="145"/>
      <c r="E93" s="139" t="s">
        <v>13</v>
      </c>
      <c r="F93" s="140"/>
      <c r="G93" s="139" t="s">
        <v>14</v>
      </c>
      <c r="H93" s="140"/>
      <c r="I93" s="148"/>
      <c r="J93" s="151"/>
      <c r="K93" s="6">
        <v>178</v>
      </c>
    </row>
    <row r="94" spans="1:11">
      <c r="A94" s="32" t="str">
        <f t="shared" si="3"/>
        <v>DM13179</v>
      </c>
      <c r="B94" s="93">
        <f t="shared" si="4"/>
        <v>43180</v>
      </c>
      <c r="C94" s="145"/>
      <c r="D94" s="145"/>
      <c r="E94" s="139" t="s">
        <v>16</v>
      </c>
      <c r="F94" s="140"/>
      <c r="G94" s="139" t="s">
        <v>17</v>
      </c>
      <c r="H94" s="140"/>
      <c r="I94" s="148"/>
      <c r="J94" s="151"/>
      <c r="K94" s="6">
        <v>179</v>
      </c>
    </row>
    <row r="95" spans="1:11">
      <c r="A95" s="32" t="str">
        <f t="shared" si="3"/>
        <v>DM13180</v>
      </c>
      <c r="B95" s="93">
        <f t="shared" si="4"/>
        <v>43181</v>
      </c>
      <c r="C95" s="145"/>
      <c r="D95" s="145"/>
      <c r="E95" s="139" t="s">
        <v>18</v>
      </c>
      <c r="F95" s="140"/>
      <c r="G95" s="139" t="s">
        <v>19</v>
      </c>
      <c r="H95" s="140"/>
      <c r="I95" s="148"/>
      <c r="J95" s="151"/>
      <c r="K95" s="6">
        <v>180</v>
      </c>
    </row>
    <row r="96" spans="1:11">
      <c r="A96" s="32" t="str">
        <f t="shared" si="3"/>
        <v>DM13181</v>
      </c>
      <c r="B96" s="93">
        <f t="shared" si="4"/>
        <v>43182</v>
      </c>
      <c r="C96" s="145"/>
      <c r="D96" s="145"/>
      <c r="E96" s="139" t="s">
        <v>20</v>
      </c>
      <c r="F96" s="140"/>
      <c r="G96" s="139" t="s">
        <v>21</v>
      </c>
      <c r="H96" s="140"/>
      <c r="I96" s="148"/>
      <c r="J96" s="151"/>
      <c r="K96" s="6">
        <v>181</v>
      </c>
    </row>
    <row r="97" spans="1:11">
      <c r="A97" s="32" t="str">
        <f t="shared" si="3"/>
        <v>DM13182</v>
      </c>
      <c r="B97" s="93">
        <f t="shared" si="4"/>
        <v>43183</v>
      </c>
      <c r="C97" s="146"/>
      <c r="D97" s="146"/>
      <c r="E97" s="139" t="s">
        <v>22</v>
      </c>
      <c r="F97" s="140"/>
      <c r="G97" s="139" t="s">
        <v>23</v>
      </c>
      <c r="H97" s="140"/>
      <c r="I97" s="149"/>
      <c r="J97" s="152"/>
      <c r="K97" s="6">
        <v>182</v>
      </c>
    </row>
    <row r="98" spans="1:11">
      <c r="A98" s="32" t="str">
        <f t="shared" si="3"/>
        <v>DM13183</v>
      </c>
      <c r="B98" s="93">
        <f t="shared" si="4"/>
        <v>43184</v>
      </c>
      <c r="C98" s="144" t="s">
        <v>122</v>
      </c>
      <c r="D98" s="144" t="s">
        <v>58</v>
      </c>
      <c r="E98" s="139" t="s">
        <v>25</v>
      </c>
      <c r="F98" s="140"/>
      <c r="G98" s="139" t="s">
        <v>65</v>
      </c>
      <c r="H98" s="140"/>
      <c r="I98" s="147" t="s">
        <v>123</v>
      </c>
      <c r="J98" s="150" t="s">
        <v>64</v>
      </c>
      <c r="K98" s="6">
        <v>183</v>
      </c>
    </row>
    <row r="99" spans="1:11">
      <c r="A99" s="32" t="str">
        <f t="shared" si="3"/>
        <v>DM13184</v>
      </c>
      <c r="B99" s="93">
        <f t="shared" si="4"/>
        <v>43185</v>
      </c>
      <c r="C99" s="145"/>
      <c r="D99" s="145"/>
      <c r="E99" s="139" t="s">
        <v>26</v>
      </c>
      <c r="F99" s="140"/>
      <c r="G99" s="139" t="s">
        <v>27</v>
      </c>
      <c r="H99" s="140"/>
      <c r="I99" s="148"/>
      <c r="J99" s="151"/>
      <c r="K99" s="6">
        <v>184</v>
      </c>
    </row>
    <row r="100" spans="1:11">
      <c r="A100" s="32" t="str">
        <f t="shared" si="3"/>
        <v>DM13185</v>
      </c>
      <c r="B100" s="93">
        <f t="shared" si="4"/>
        <v>43186</v>
      </c>
      <c r="C100" s="145"/>
      <c r="D100" s="145"/>
      <c r="E100" s="139" t="s">
        <v>28</v>
      </c>
      <c r="F100" s="140"/>
      <c r="G100" s="139" t="s">
        <v>29</v>
      </c>
      <c r="H100" s="140"/>
      <c r="I100" s="148"/>
      <c r="J100" s="151"/>
      <c r="K100" s="6">
        <v>185</v>
      </c>
    </row>
    <row r="101" spans="1:11">
      <c r="A101" s="32" t="str">
        <f t="shared" si="3"/>
        <v>DM13186</v>
      </c>
      <c r="B101" s="93">
        <f t="shared" si="4"/>
        <v>43187</v>
      </c>
      <c r="C101" s="145"/>
      <c r="D101" s="145"/>
      <c r="E101" s="139" t="s">
        <v>30</v>
      </c>
      <c r="F101" s="140"/>
      <c r="G101" s="139" t="s">
        <v>31</v>
      </c>
      <c r="H101" s="140"/>
      <c r="I101" s="148"/>
      <c r="J101" s="151"/>
      <c r="K101" s="6">
        <v>186</v>
      </c>
    </row>
    <row r="102" spans="1:11">
      <c r="A102" s="32" t="str">
        <f t="shared" si="3"/>
        <v>DM13187</v>
      </c>
      <c r="B102" s="93">
        <f t="shared" si="4"/>
        <v>43188</v>
      </c>
      <c r="C102" s="145"/>
      <c r="D102" s="145"/>
      <c r="E102" s="139" t="s">
        <v>11</v>
      </c>
      <c r="F102" s="140"/>
      <c r="G102" s="139" t="s">
        <v>12</v>
      </c>
      <c r="H102" s="140"/>
      <c r="I102" s="148"/>
      <c r="J102" s="151"/>
      <c r="K102" s="6">
        <v>187</v>
      </c>
    </row>
    <row r="103" spans="1:11">
      <c r="A103" s="32" t="str">
        <f t="shared" si="3"/>
        <v>DM13188</v>
      </c>
      <c r="B103" s="93">
        <f t="shared" si="4"/>
        <v>43189</v>
      </c>
      <c r="C103" s="145"/>
      <c r="D103" s="145"/>
      <c r="E103" s="139" t="s">
        <v>13</v>
      </c>
      <c r="F103" s="140"/>
      <c r="G103" s="139" t="s">
        <v>14</v>
      </c>
      <c r="H103" s="140"/>
      <c r="I103" s="148"/>
      <c r="J103" s="151"/>
      <c r="K103" s="6">
        <v>188</v>
      </c>
    </row>
    <row r="104" spans="1:11">
      <c r="A104" s="32" t="str">
        <f t="shared" si="3"/>
        <v>DM13189</v>
      </c>
      <c r="B104" s="93">
        <f t="shared" si="4"/>
        <v>43190</v>
      </c>
      <c r="C104" s="145"/>
      <c r="D104" s="145"/>
      <c r="E104" s="139" t="s">
        <v>16</v>
      </c>
      <c r="F104" s="140"/>
      <c r="G104" s="139" t="s">
        <v>17</v>
      </c>
      <c r="H104" s="140"/>
      <c r="I104" s="148"/>
      <c r="J104" s="151"/>
      <c r="K104" s="6">
        <v>189</v>
      </c>
    </row>
    <row r="105" spans="1:11">
      <c r="A105" s="32" t="str">
        <f t="shared" si="3"/>
        <v>DM13190</v>
      </c>
      <c r="B105" s="93">
        <f t="shared" si="4"/>
        <v>43191</v>
      </c>
      <c r="C105" s="145"/>
      <c r="D105" s="145"/>
      <c r="E105" s="139" t="s">
        <v>18</v>
      </c>
      <c r="F105" s="140"/>
      <c r="G105" s="139" t="s">
        <v>19</v>
      </c>
      <c r="H105" s="140"/>
      <c r="I105" s="148"/>
      <c r="J105" s="151"/>
      <c r="K105" s="6">
        <v>190</v>
      </c>
    </row>
    <row r="106" spans="1:11">
      <c r="A106" s="32" t="str">
        <f t="shared" si="3"/>
        <v>DM13191</v>
      </c>
      <c r="B106" s="93">
        <f t="shared" si="4"/>
        <v>43192</v>
      </c>
      <c r="C106" s="145"/>
      <c r="D106" s="145"/>
      <c r="E106" s="139" t="s">
        <v>20</v>
      </c>
      <c r="F106" s="140"/>
      <c r="G106" s="139" t="s">
        <v>21</v>
      </c>
      <c r="H106" s="140"/>
      <c r="I106" s="148"/>
      <c r="J106" s="151"/>
      <c r="K106" s="6">
        <v>191</v>
      </c>
    </row>
    <row r="107" spans="1:11">
      <c r="A107" s="32" t="str">
        <f t="shared" si="3"/>
        <v>DM13192</v>
      </c>
      <c r="B107" s="93">
        <f t="shared" si="4"/>
        <v>43193</v>
      </c>
      <c r="C107" s="146"/>
      <c r="D107" s="146"/>
      <c r="E107" s="139" t="s">
        <v>22</v>
      </c>
      <c r="F107" s="140"/>
      <c r="G107" s="139" t="s">
        <v>23</v>
      </c>
      <c r="H107" s="140"/>
      <c r="I107" s="149"/>
      <c r="J107" s="152"/>
      <c r="K107" s="6">
        <v>192</v>
      </c>
    </row>
    <row r="108" spans="1:11" ht="15" customHeight="1">
      <c r="A108" s="32" t="str">
        <f t="shared" si="3"/>
        <v>DM13193</v>
      </c>
      <c r="B108" s="93">
        <f t="shared" si="4"/>
        <v>43194</v>
      </c>
      <c r="C108" s="144" t="s">
        <v>124</v>
      </c>
      <c r="D108" s="144" t="s">
        <v>81</v>
      </c>
      <c r="E108" s="139" t="s">
        <v>25</v>
      </c>
      <c r="F108" s="140"/>
      <c r="G108" s="139" t="s">
        <v>65</v>
      </c>
      <c r="H108" s="140"/>
      <c r="I108" s="147" t="s">
        <v>125</v>
      </c>
      <c r="J108" s="150" t="s">
        <v>64</v>
      </c>
      <c r="K108" s="6">
        <v>193</v>
      </c>
    </row>
    <row r="109" spans="1:11" ht="15" customHeight="1">
      <c r="A109" s="32" t="str">
        <f t="shared" si="3"/>
        <v>DM13194</v>
      </c>
      <c r="B109" s="93">
        <f t="shared" si="4"/>
        <v>43195</v>
      </c>
      <c r="C109" s="145"/>
      <c r="D109" s="145"/>
      <c r="E109" s="139" t="s">
        <v>26</v>
      </c>
      <c r="F109" s="140"/>
      <c r="G109" s="139" t="s">
        <v>27</v>
      </c>
      <c r="H109" s="140"/>
      <c r="I109" s="148"/>
      <c r="J109" s="151"/>
      <c r="K109" s="6">
        <v>194</v>
      </c>
    </row>
    <row r="110" spans="1:11" ht="15" customHeight="1">
      <c r="A110" s="32" t="str">
        <f t="shared" si="3"/>
        <v>DM13195</v>
      </c>
      <c r="B110" s="93">
        <f t="shared" si="4"/>
        <v>43196</v>
      </c>
      <c r="C110" s="145"/>
      <c r="D110" s="145"/>
      <c r="E110" s="139" t="s">
        <v>28</v>
      </c>
      <c r="F110" s="140"/>
      <c r="G110" s="139" t="s">
        <v>29</v>
      </c>
      <c r="H110" s="140"/>
      <c r="I110" s="148"/>
      <c r="J110" s="151"/>
      <c r="K110" s="6">
        <v>195</v>
      </c>
    </row>
    <row r="111" spans="1:11" ht="15" customHeight="1">
      <c r="A111" s="32" t="str">
        <f t="shared" si="3"/>
        <v>DM13196</v>
      </c>
      <c r="B111" s="93">
        <f t="shared" si="4"/>
        <v>43197</v>
      </c>
      <c r="C111" s="145"/>
      <c r="D111" s="145"/>
      <c r="E111" s="139" t="s">
        <v>30</v>
      </c>
      <c r="F111" s="140"/>
      <c r="G111" s="139" t="s">
        <v>31</v>
      </c>
      <c r="H111" s="140"/>
      <c r="I111" s="148"/>
      <c r="J111" s="151"/>
      <c r="K111" s="6">
        <v>196</v>
      </c>
    </row>
    <row r="112" spans="1:11" ht="15" customHeight="1">
      <c r="A112" s="32" t="str">
        <f t="shared" si="3"/>
        <v>DM13197</v>
      </c>
      <c r="B112" s="93">
        <f t="shared" si="4"/>
        <v>43198</v>
      </c>
      <c r="C112" s="145"/>
      <c r="D112" s="145"/>
      <c r="E112" s="139" t="s">
        <v>11</v>
      </c>
      <c r="F112" s="140"/>
      <c r="G112" s="139" t="s">
        <v>12</v>
      </c>
      <c r="H112" s="140"/>
      <c r="I112" s="148"/>
      <c r="J112" s="151"/>
      <c r="K112" s="6">
        <v>197</v>
      </c>
    </row>
    <row r="113" spans="1:11" ht="15" customHeight="1">
      <c r="A113" s="32" t="str">
        <f t="shared" si="3"/>
        <v>DM13198</v>
      </c>
      <c r="B113" s="93">
        <f t="shared" si="4"/>
        <v>43199</v>
      </c>
      <c r="C113" s="145"/>
      <c r="D113" s="145"/>
      <c r="E113" s="139" t="s">
        <v>13</v>
      </c>
      <c r="F113" s="140"/>
      <c r="G113" s="139" t="s">
        <v>14</v>
      </c>
      <c r="H113" s="140"/>
      <c r="I113" s="148"/>
      <c r="J113" s="151"/>
      <c r="K113" s="6">
        <v>198</v>
      </c>
    </row>
    <row r="114" spans="1:11" ht="15" customHeight="1">
      <c r="A114" s="32" t="str">
        <f t="shared" si="3"/>
        <v>DM13199</v>
      </c>
      <c r="B114" s="93">
        <f t="shared" si="4"/>
        <v>43200</v>
      </c>
      <c r="C114" s="145"/>
      <c r="D114" s="145"/>
      <c r="E114" s="139" t="s">
        <v>16</v>
      </c>
      <c r="F114" s="140"/>
      <c r="G114" s="139" t="s">
        <v>17</v>
      </c>
      <c r="H114" s="140"/>
      <c r="I114" s="148"/>
      <c r="J114" s="151"/>
      <c r="K114" s="6">
        <v>199</v>
      </c>
    </row>
    <row r="115" spans="1:11" ht="15" customHeight="1">
      <c r="A115" s="32" t="str">
        <f t="shared" si="3"/>
        <v>DM13200</v>
      </c>
      <c r="B115" s="93">
        <f t="shared" si="4"/>
        <v>43201</v>
      </c>
      <c r="C115" s="145"/>
      <c r="D115" s="145"/>
      <c r="E115" s="139" t="s">
        <v>18</v>
      </c>
      <c r="F115" s="140"/>
      <c r="G115" s="139" t="s">
        <v>19</v>
      </c>
      <c r="H115" s="140"/>
      <c r="I115" s="148"/>
      <c r="J115" s="151"/>
      <c r="K115" s="6">
        <v>200</v>
      </c>
    </row>
    <row r="116" spans="1:11" ht="15" customHeight="1">
      <c r="A116" s="32" t="str">
        <f t="shared" si="3"/>
        <v>DM13201</v>
      </c>
      <c r="B116" s="93">
        <f t="shared" si="4"/>
        <v>43202</v>
      </c>
      <c r="C116" s="145"/>
      <c r="D116" s="145"/>
      <c r="E116" s="139" t="s">
        <v>20</v>
      </c>
      <c r="F116" s="140"/>
      <c r="G116" s="139" t="s">
        <v>21</v>
      </c>
      <c r="H116" s="140"/>
      <c r="I116" s="148"/>
      <c r="J116" s="151"/>
      <c r="K116" s="6">
        <v>201</v>
      </c>
    </row>
    <row r="117" spans="1:11" ht="15" customHeight="1">
      <c r="A117" s="32" t="str">
        <f t="shared" si="3"/>
        <v>DM13202</v>
      </c>
      <c r="B117" s="93">
        <f t="shared" si="4"/>
        <v>43203</v>
      </c>
      <c r="C117" s="146"/>
      <c r="D117" s="146"/>
      <c r="E117" s="139" t="s">
        <v>22</v>
      </c>
      <c r="F117" s="140"/>
      <c r="G117" s="139" t="s">
        <v>23</v>
      </c>
      <c r="H117" s="140"/>
      <c r="I117" s="149"/>
      <c r="J117" s="152"/>
      <c r="K117" s="6">
        <v>202</v>
      </c>
    </row>
    <row r="118" spans="1:11">
      <c r="A118" s="32" t="str">
        <f t="shared" si="3"/>
        <v>DM13203</v>
      </c>
      <c r="B118" s="93">
        <f t="shared" si="4"/>
        <v>43204</v>
      </c>
      <c r="C118" s="94" t="s">
        <v>126</v>
      </c>
      <c r="D118" s="73" t="s">
        <v>81</v>
      </c>
      <c r="E118" s="60">
        <v>0</v>
      </c>
      <c r="F118" s="61">
        <v>0</v>
      </c>
      <c r="G118" s="61">
        <v>0</v>
      </c>
      <c r="H118" s="114" t="s">
        <v>262</v>
      </c>
      <c r="I118" s="100" t="s">
        <v>127</v>
      </c>
      <c r="J118" s="101" t="s">
        <v>128</v>
      </c>
      <c r="K118" s="6">
        <v>203</v>
      </c>
    </row>
    <row r="119" spans="1:11">
      <c r="A119" s="32" t="str">
        <f t="shared" si="3"/>
        <v>DM13204</v>
      </c>
      <c r="B119" s="93">
        <f t="shared" si="4"/>
        <v>43205</v>
      </c>
      <c r="C119" s="94" t="s">
        <v>150</v>
      </c>
      <c r="D119" s="73" t="s">
        <v>81</v>
      </c>
      <c r="E119" s="60">
        <v>0</v>
      </c>
      <c r="F119" s="61">
        <v>0</v>
      </c>
      <c r="G119" s="61">
        <v>0</v>
      </c>
      <c r="H119" s="114" t="s">
        <v>262</v>
      </c>
      <c r="I119" s="100" t="s">
        <v>159</v>
      </c>
      <c r="J119" s="101" t="s">
        <v>156</v>
      </c>
      <c r="K119" s="6">
        <v>204</v>
      </c>
    </row>
    <row r="120" spans="1:11">
      <c r="A120" s="32" t="str">
        <f t="shared" si="3"/>
        <v>DM13205</v>
      </c>
      <c r="B120" s="93">
        <f t="shared" si="4"/>
        <v>43206</v>
      </c>
      <c r="C120" s="144" t="s">
        <v>151</v>
      </c>
      <c r="D120" s="144" t="s">
        <v>81</v>
      </c>
      <c r="E120" s="139" t="s">
        <v>25</v>
      </c>
      <c r="F120" s="140"/>
      <c r="G120" s="139" t="s">
        <v>65</v>
      </c>
      <c r="H120" s="140"/>
      <c r="I120" s="147" t="s">
        <v>152</v>
      </c>
      <c r="J120" s="150" t="s">
        <v>64</v>
      </c>
      <c r="K120" s="6">
        <v>205</v>
      </c>
    </row>
    <row r="121" spans="1:11">
      <c r="A121" s="32" t="str">
        <f t="shared" si="3"/>
        <v>DM13206</v>
      </c>
      <c r="B121" s="93">
        <f t="shared" si="4"/>
        <v>43207</v>
      </c>
      <c r="C121" s="145"/>
      <c r="D121" s="145"/>
      <c r="E121" s="139" t="s">
        <v>26</v>
      </c>
      <c r="F121" s="140"/>
      <c r="G121" s="139" t="s">
        <v>27</v>
      </c>
      <c r="H121" s="140"/>
      <c r="I121" s="148"/>
      <c r="J121" s="151"/>
      <c r="K121" s="6">
        <v>206</v>
      </c>
    </row>
    <row r="122" spans="1:11">
      <c r="A122" s="32" t="str">
        <f t="shared" si="3"/>
        <v>DM13207</v>
      </c>
      <c r="B122" s="93">
        <f t="shared" si="4"/>
        <v>43208</v>
      </c>
      <c r="C122" s="145"/>
      <c r="D122" s="145"/>
      <c r="E122" s="139" t="s">
        <v>28</v>
      </c>
      <c r="F122" s="140"/>
      <c r="G122" s="139" t="s">
        <v>29</v>
      </c>
      <c r="H122" s="140"/>
      <c r="I122" s="148"/>
      <c r="J122" s="151"/>
      <c r="K122" s="6">
        <v>207</v>
      </c>
    </row>
    <row r="123" spans="1:11">
      <c r="A123" s="32" t="str">
        <f t="shared" si="3"/>
        <v>DM13208</v>
      </c>
      <c r="B123" s="93">
        <f t="shared" si="4"/>
        <v>43209</v>
      </c>
      <c r="C123" s="145"/>
      <c r="D123" s="145"/>
      <c r="E123" s="139" t="s">
        <v>30</v>
      </c>
      <c r="F123" s="140"/>
      <c r="G123" s="139" t="s">
        <v>31</v>
      </c>
      <c r="H123" s="140"/>
      <c r="I123" s="148"/>
      <c r="J123" s="151"/>
      <c r="K123" s="6">
        <v>208</v>
      </c>
    </row>
    <row r="124" spans="1:11">
      <c r="A124" s="32" t="str">
        <f t="shared" si="3"/>
        <v>DM13209</v>
      </c>
      <c r="B124" s="93">
        <f t="shared" si="4"/>
        <v>43210</v>
      </c>
      <c r="C124" s="145"/>
      <c r="D124" s="145"/>
      <c r="E124" s="139" t="s">
        <v>11</v>
      </c>
      <c r="F124" s="140"/>
      <c r="G124" s="139" t="s">
        <v>12</v>
      </c>
      <c r="H124" s="140"/>
      <c r="I124" s="148"/>
      <c r="J124" s="151"/>
      <c r="K124" s="6">
        <v>209</v>
      </c>
    </row>
    <row r="125" spans="1:11">
      <c r="A125" s="32" t="str">
        <f t="shared" si="3"/>
        <v>DM13210</v>
      </c>
      <c r="B125" s="93">
        <f t="shared" si="4"/>
        <v>43211</v>
      </c>
      <c r="C125" s="145"/>
      <c r="D125" s="145"/>
      <c r="E125" s="139" t="s">
        <v>13</v>
      </c>
      <c r="F125" s="140"/>
      <c r="G125" s="139" t="s">
        <v>14</v>
      </c>
      <c r="H125" s="140"/>
      <c r="I125" s="148"/>
      <c r="J125" s="151"/>
      <c r="K125" s="6">
        <v>210</v>
      </c>
    </row>
    <row r="126" spans="1:11">
      <c r="A126" s="32" t="str">
        <f t="shared" si="3"/>
        <v>DM13211</v>
      </c>
      <c r="B126" s="93">
        <f t="shared" si="4"/>
        <v>43212</v>
      </c>
      <c r="C126" s="145"/>
      <c r="D126" s="145"/>
      <c r="E126" s="139" t="s">
        <v>16</v>
      </c>
      <c r="F126" s="140"/>
      <c r="G126" s="139" t="s">
        <v>17</v>
      </c>
      <c r="H126" s="140"/>
      <c r="I126" s="148"/>
      <c r="J126" s="151"/>
      <c r="K126" s="6">
        <v>211</v>
      </c>
    </row>
    <row r="127" spans="1:11">
      <c r="A127" s="32" t="str">
        <f t="shared" si="3"/>
        <v>DM13212</v>
      </c>
      <c r="B127" s="93">
        <f t="shared" si="4"/>
        <v>43213</v>
      </c>
      <c r="C127" s="145"/>
      <c r="D127" s="145"/>
      <c r="E127" s="139" t="s">
        <v>18</v>
      </c>
      <c r="F127" s="140"/>
      <c r="G127" s="139" t="s">
        <v>19</v>
      </c>
      <c r="H127" s="140"/>
      <c r="I127" s="148"/>
      <c r="J127" s="151"/>
      <c r="K127" s="6">
        <v>212</v>
      </c>
    </row>
    <row r="128" spans="1:11">
      <c r="A128" s="32" t="str">
        <f t="shared" si="3"/>
        <v>DM13213</v>
      </c>
      <c r="B128" s="93">
        <f t="shared" si="4"/>
        <v>43214</v>
      </c>
      <c r="C128" s="145"/>
      <c r="D128" s="145"/>
      <c r="E128" s="139" t="s">
        <v>20</v>
      </c>
      <c r="F128" s="140"/>
      <c r="G128" s="139" t="s">
        <v>21</v>
      </c>
      <c r="H128" s="140"/>
      <c r="I128" s="148"/>
      <c r="J128" s="151"/>
      <c r="K128" s="6">
        <v>213</v>
      </c>
    </row>
    <row r="129" spans="1:11">
      <c r="A129" s="32" t="str">
        <f t="shared" ref="A129:A192" si="5">LEFT($D$3, 2) &amp; (MID($D$3, 3, LEN($D$3)) + K129)</f>
        <v>DM13214</v>
      </c>
      <c r="B129" s="93">
        <f t="shared" ref="B129:B192" si="6">$D$4+K129</f>
        <v>43215</v>
      </c>
      <c r="C129" s="146"/>
      <c r="D129" s="146"/>
      <c r="E129" s="139" t="s">
        <v>22</v>
      </c>
      <c r="F129" s="140"/>
      <c r="G129" s="139" t="s">
        <v>23</v>
      </c>
      <c r="H129" s="140"/>
      <c r="I129" s="149"/>
      <c r="J129" s="152"/>
      <c r="K129" s="6">
        <v>214</v>
      </c>
    </row>
    <row r="130" spans="1:11">
      <c r="A130" s="32" t="str">
        <f t="shared" si="5"/>
        <v>DM13215</v>
      </c>
      <c r="B130" s="93">
        <f t="shared" si="6"/>
        <v>43216</v>
      </c>
      <c r="C130" s="144" t="s">
        <v>129</v>
      </c>
      <c r="D130" s="144" t="s">
        <v>81</v>
      </c>
      <c r="E130" s="139" t="s">
        <v>25</v>
      </c>
      <c r="F130" s="140"/>
      <c r="G130" s="139" t="s">
        <v>65</v>
      </c>
      <c r="H130" s="140"/>
      <c r="I130" s="147" t="s">
        <v>130</v>
      </c>
      <c r="J130" s="150" t="s">
        <v>64</v>
      </c>
      <c r="K130" s="6">
        <v>215</v>
      </c>
    </row>
    <row r="131" spans="1:11">
      <c r="A131" s="32" t="str">
        <f t="shared" si="5"/>
        <v>DM13216</v>
      </c>
      <c r="B131" s="93">
        <f t="shared" si="6"/>
        <v>43217</v>
      </c>
      <c r="C131" s="145"/>
      <c r="D131" s="145"/>
      <c r="E131" s="139" t="s">
        <v>26</v>
      </c>
      <c r="F131" s="140"/>
      <c r="G131" s="139" t="s">
        <v>27</v>
      </c>
      <c r="H131" s="140"/>
      <c r="I131" s="148"/>
      <c r="J131" s="151"/>
      <c r="K131" s="6">
        <v>216</v>
      </c>
    </row>
    <row r="132" spans="1:11">
      <c r="A132" s="32" t="str">
        <f t="shared" si="5"/>
        <v>DM13217</v>
      </c>
      <c r="B132" s="93">
        <f t="shared" si="6"/>
        <v>43218</v>
      </c>
      <c r="C132" s="145"/>
      <c r="D132" s="145"/>
      <c r="E132" s="139" t="s">
        <v>28</v>
      </c>
      <c r="F132" s="140"/>
      <c r="G132" s="139" t="s">
        <v>29</v>
      </c>
      <c r="H132" s="140"/>
      <c r="I132" s="148"/>
      <c r="J132" s="151"/>
      <c r="K132" s="6">
        <v>217</v>
      </c>
    </row>
    <row r="133" spans="1:11">
      <c r="A133" s="32" t="str">
        <f t="shared" si="5"/>
        <v>DM13218</v>
      </c>
      <c r="B133" s="93">
        <f t="shared" si="6"/>
        <v>43219</v>
      </c>
      <c r="C133" s="145"/>
      <c r="D133" s="145"/>
      <c r="E133" s="139" t="s">
        <v>30</v>
      </c>
      <c r="F133" s="140"/>
      <c r="G133" s="139" t="s">
        <v>31</v>
      </c>
      <c r="H133" s="140"/>
      <c r="I133" s="148"/>
      <c r="J133" s="151"/>
      <c r="K133" s="6">
        <v>218</v>
      </c>
    </row>
    <row r="134" spans="1:11">
      <c r="A134" s="32" t="str">
        <f t="shared" si="5"/>
        <v>DM13219</v>
      </c>
      <c r="B134" s="93">
        <f t="shared" si="6"/>
        <v>43220</v>
      </c>
      <c r="C134" s="145"/>
      <c r="D134" s="145"/>
      <c r="E134" s="139" t="s">
        <v>11</v>
      </c>
      <c r="F134" s="140"/>
      <c r="G134" s="139" t="s">
        <v>12</v>
      </c>
      <c r="H134" s="140"/>
      <c r="I134" s="148"/>
      <c r="J134" s="151"/>
      <c r="K134" s="6">
        <v>219</v>
      </c>
    </row>
    <row r="135" spans="1:11">
      <c r="A135" s="32" t="str">
        <f t="shared" si="5"/>
        <v>DM13220</v>
      </c>
      <c r="B135" s="93">
        <f t="shared" si="6"/>
        <v>43221</v>
      </c>
      <c r="C135" s="145"/>
      <c r="D135" s="145"/>
      <c r="E135" s="139" t="s">
        <v>13</v>
      </c>
      <c r="F135" s="140"/>
      <c r="G135" s="139" t="s">
        <v>14</v>
      </c>
      <c r="H135" s="140"/>
      <c r="I135" s="148"/>
      <c r="J135" s="151"/>
      <c r="K135" s="6">
        <v>220</v>
      </c>
    </row>
    <row r="136" spans="1:11">
      <c r="A136" s="32" t="str">
        <f t="shared" si="5"/>
        <v>DM13221</v>
      </c>
      <c r="B136" s="93">
        <f t="shared" si="6"/>
        <v>43222</v>
      </c>
      <c r="C136" s="145"/>
      <c r="D136" s="145"/>
      <c r="E136" s="139" t="s">
        <v>16</v>
      </c>
      <c r="F136" s="140"/>
      <c r="G136" s="139" t="s">
        <v>17</v>
      </c>
      <c r="H136" s="140"/>
      <c r="I136" s="148"/>
      <c r="J136" s="151"/>
      <c r="K136" s="6">
        <v>221</v>
      </c>
    </row>
    <row r="137" spans="1:11">
      <c r="A137" s="32" t="str">
        <f t="shared" si="5"/>
        <v>DM13222</v>
      </c>
      <c r="B137" s="93">
        <f t="shared" si="6"/>
        <v>43223</v>
      </c>
      <c r="C137" s="145"/>
      <c r="D137" s="145"/>
      <c r="E137" s="139" t="s">
        <v>18</v>
      </c>
      <c r="F137" s="140"/>
      <c r="G137" s="139" t="s">
        <v>19</v>
      </c>
      <c r="H137" s="140"/>
      <c r="I137" s="148"/>
      <c r="J137" s="151"/>
      <c r="K137" s="6">
        <v>222</v>
      </c>
    </row>
    <row r="138" spans="1:11">
      <c r="A138" s="32" t="str">
        <f t="shared" si="5"/>
        <v>DM13223</v>
      </c>
      <c r="B138" s="93">
        <f t="shared" si="6"/>
        <v>43224</v>
      </c>
      <c r="C138" s="145"/>
      <c r="D138" s="145"/>
      <c r="E138" s="139" t="s">
        <v>20</v>
      </c>
      <c r="F138" s="140"/>
      <c r="G138" s="139" t="s">
        <v>21</v>
      </c>
      <c r="H138" s="140"/>
      <c r="I138" s="148"/>
      <c r="J138" s="151"/>
      <c r="K138" s="6">
        <v>223</v>
      </c>
    </row>
    <row r="139" spans="1:11">
      <c r="A139" s="32" t="str">
        <f t="shared" si="5"/>
        <v>DM13224</v>
      </c>
      <c r="B139" s="93">
        <f t="shared" si="6"/>
        <v>43225</v>
      </c>
      <c r="C139" s="146"/>
      <c r="D139" s="146"/>
      <c r="E139" s="139" t="s">
        <v>22</v>
      </c>
      <c r="F139" s="140"/>
      <c r="G139" s="139" t="s">
        <v>23</v>
      </c>
      <c r="H139" s="140"/>
      <c r="I139" s="149"/>
      <c r="J139" s="152"/>
      <c r="K139" s="6">
        <v>224</v>
      </c>
    </row>
    <row r="140" spans="1:11">
      <c r="A140" s="32" t="str">
        <f t="shared" si="5"/>
        <v>DM13225</v>
      </c>
      <c r="B140" s="93">
        <f t="shared" si="6"/>
        <v>43226</v>
      </c>
      <c r="C140" s="144" t="s">
        <v>131</v>
      </c>
      <c r="D140" s="144" t="s">
        <v>81</v>
      </c>
      <c r="E140" s="139" t="s">
        <v>25</v>
      </c>
      <c r="F140" s="140"/>
      <c r="G140" s="139" t="s">
        <v>65</v>
      </c>
      <c r="H140" s="140"/>
      <c r="I140" s="147" t="s">
        <v>132</v>
      </c>
      <c r="J140" s="150" t="s">
        <v>64</v>
      </c>
      <c r="K140" s="6">
        <v>225</v>
      </c>
    </row>
    <row r="141" spans="1:11">
      <c r="A141" s="32" t="str">
        <f t="shared" si="5"/>
        <v>DM13226</v>
      </c>
      <c r="B141" s="93">
        <f t="shared" si="6"/>
        <v>43227</v>
      </c>
      <c r="C141" s="145"/>
      <c r="D141" s="145"/>
      <c r="E141" s="139" t="s">
        <v>26</v>
      </c>
      <c r="F141" s="140"/>
      <c r="G141" s="139" t="s">
        <v>27</v>
      </c>
      <c r="H141" s="140"/>
      <c r="I141" s="148"/>
      <c r="J141" s="151"/>
      <c r="K141" s="6">
        <v>226</v>
      </c>
    </row>
    <row r="142" spans="1:11">
      <c r="A142" s="32" t="str">
        <f t="shared" si="5"/>
        <v>DM13227</v>
      </c>
      <c r="B142" s="93">
        <f t="shared" si="6"/>
        <v>43228</v>
      </c>
      <c r="C142" s="145"/>
      <c r="D142" s="145"/>
      <c r="E142" s="139" t="s">
        <v>28</v>
      </c>
      <c r="F142" s="140"/>
      <c r="G142" s="139" t="s">
        <v>29</v>
      </c>
      <c r="H142" s="140"/>
      <c r="I142" s="148"/>
      <c r="J142" s="151"/>
      <c r="K142" s="6">
        <v>227</v>
      </c>
    </row>
    <row r="143" spans="1:11">
      <c r="A143" s="32" t="str">
        <f t="shared" si="5"/>
        <v>DM13228</v>
      </c>
      <c r="B143" s="93">
        <f t="shared" si="6"/>
        <v>43229</v>
      </c>
      <c r="C143" s="145"/>
      <c r="D143" s="145"/>
      <c r="E143" s="139" t="s">
        <v>30</v>
      </c>
      <c r="F143" s="140"/>
      <c r="G143" s="139" t="s">
        <v>31</v>
      </c>
      <c r="H143" s="140"/>
      <c r="I143" s="148"/>
      <c r="J143" s="151"/>
      <c r="K143" s="6">
        <v>228</v>
      </c>
    </row>
    <row r="144" spans="1:11">
      <c r="A144" s="32" t="str">
        <f t="shared" si="5"/>
        <v>DM13229</v>
      </c>
      <c r="B144" s="93">
        <f t="shared" si="6"/>
        <v>43230</v>
      </c>
      <c r="C144" s="145"/>
      <c r="D144" s="145"/>
      <c r="E144" s="139" t="s">
        <v>11</v>
      </c>
      <c r="F144" s="140"/>
      <c r="G144" s="139" t="s">
        <v>12</v>
      </c>
      <c r="H144" s="140"/>
      <c r="I144" s="148"/>
      <c r="J144" s="151"/>
      <c r="K144" s="6">
        <v>229</v>
      </c>
    </row>
    <row r="145" spans="1:11">
      <c r="A145" s="32" t="str">
        <f t="shared" si="5"/>
        <v>DM13230</v>
      </c>
      <c r="B145" s="93">
        <f t="shared" si="6"/>
        <v>43231</v>
      </c>
      <c r="C145" s="145"/>
      <c r="D145" s="145"/>
      <c r="E145" s="139" t="s">
        <v>13</v>
      </c>
      <c r="F145" s="140"/>
      <c r="G145" s="139" t="s">
        <v>14</v>
      </c>
      <c r="H145" s="140"/>
      <c r="I145" s="148"/>
      <c r="J145" s="151"/>
      <c r="K145" s="6">
        <v>230</v>
      </c>
    </row>
    <row r="146" spans="1:11">
      <c r="A146" s="32" t="str">
        <f t="shared" si="5"/>
        <v>DM13231</v>
      </c>
      <c r="B146" s="93">
        <f t="shared" si="6"/>
        <v>43232</v>
      </c>
      <c r="C146" s="145"/>
      <c r="D146" s="145"/>
      <c r="E146" s="139" t="s">
        <v>16</v>
      </c>
      <c r="F146" s="140"/>
      <c r="G146" s="139" t="s">
        <v>17</v>
      </c>
      <c r="H146" s="140"/>
      <c r="I146" s="148"/>
      <c r="J146" s="151"/>
      <c r="K146" s="6">
        <v>231</v>
      </c>
    </row>
    <row r="147" spans="1:11">
      <c r="A147" s="32" t="str">
        <f t="shared" si="5"/>
        <v>DM13232</v>
      </c>
      <c r="B147" s="93">
        <f t="shared" si="6"/>
        <v>43233</v>
      </c>
      <c r="C147" s="145"/>
      <c r="D147" s="145"/>
      <c r="E147" s="139" t="s">
        <v>18</v>
      </c>
      <c r="F147" s="140"/>
      <c r="G147" s="139" t="s">
        <v>19</v>
      </c>
      <c r="H147" s="140"/>
      <c r="I147" s="148"/>
      <c r="J147" s="151"/>
      <c r="K147" s="6">
        <v>232</v>
      </c>
    </row>
    <row r="148" spans="1:11">
      <c r="A148" s="32" t="str">
        <f t="shared" si="5"/>
        <v>DM13233</v>
      </c>
      <c r="B148" s="93">
        <f t="shared" si="6"/>
        <v>43234</v>
      </c>
      <c r="C148" s="145"/>
      <c r="D148" s="145"/>
      <c r="E148" s="139" t="s">
        <v>20</v>
      </c>
      <c r="F148" s="140"/>
      <c r="G148" s="139" t="s">
        <v>21</v>
      </c>
      <c r="H148" s="140"/>
      <c r="I148" s="148"/>
      <c r="J148" s="151"/>
      <c r="K148" s="6">
        <v>233</v>
      </c>
    </row>
    <row r="149" spans="1:11">
      <c r="A149" s="32" t="str">
        <f t="shared" si="5"/>
        <v>DM13234</v>
      </c>
      <c r="B149" s="93">
        <f t="shared" si="6"/>
        <v>43235</v>
      </c>
      <c r="C149" s="146"/>
      <c r="D149" s="146"/>
      <c r="E149" s="139" t="s">
        <v>22</v>
      </c>
      <c r="F149" s="140"/>
      <c r="G149" s="139" t="s">
        <v>23</v>
      </c>
      <c r="H149" s="140"/>
      <c r="I149" s="149"/>
      <c r="J149" s="152"/>
      <c r="K149" s="6">
        <v>234</v>
      </c>
    </row>
    <row r="150" spans="1:11">
      <c r="A150" s="32" t="str">
        <f t="shared" si="5"/>
        <v>DM13235</v>
      </c>
      <c r="B150" s="93">
        <f t="shared" si="6"/>
        <v>43236</v>
      </c>
      <c r="C150" s="144" t="s">
        <v>133</v>
      </c>
      <c r="D150" s="144" t="s">
        <v>81</v>
      </c>
      <c r="E150" s="139" t="s">
        <v>25</v>
      </c>
      <c r="F150" s="140"/>
      <c r="G150" s="139" t="s">
        <v>65</v>
      </c>
      <c r="H150" s="140"/>
      <c r="I150" s="147" t="s">
        <v>134</v>
      </c>
      <c r="J150" s="150" t="s">
        <v>64</v>
      </c>
      <c r="K150" s="6">
        <v>235</v>
      </c>
    </row>
    <row r="151" spans="1:11">
      <c r="A151" s="32" t="str">
        <f t="shared" si="5"/>
        <v>DM13236</v>
      </c>
      <c r="B151" s="93">
        <f t="shared" si="6"/>
        <v>43237</v>
      </c>
      <c r="C151" s="145"/>
      <c r="D151" s="145"/>
      <c r="E151" s="139" t="s">
        <v>26</v>
      </c>
      <c r="F151" s="140"/>
      <c r="G151" s="139" t="s">
        <v>27</v>
      </c>
      <c r="H151" s="140"/>
      <c r="I151" s="148"/>
      <c r="J151" s="151"/>
      <c r="K151" s="6">
        <v>236</v>
      </c>
    </row>
    <row r="152" spans="1:11">
      <c r="A152" s="32" t="str">
        <f t="shared" si="5"/>
        <v>DM13237</v>
      </c>
      <c r="B152" s="93">
        <f t="shared" si="6"/>
        <v>43238</v>
      </c>
      <c r="C152" s="145"/>
      <c r="D152" s="145"/>
      <c r="E152" s="139" t="s">
        <v>28</v>
      </c>
      <c r="F152" s="140"/>
      <c r="G152" s="139" t="s">
        <v>29</v>
      </c>
      <c r="H152" s="140"/>
      <c r="I152" s="148"/>
      <c r="J152" s="151"/>
      <c r="K152" s="6">
        <v>237</v>
      </c>
    </row>
    <row r="153" spans="1:11">
      <c r="A153" s="32" t="str">
        <f t="shared" si="5"/>
        <v>DM13238</v>
      </c>
      <c r="B153" s="93">
        <f t="shared" si="6"/>
        <v>43239</v>
      </c>
      <c r="C153" s="145"/>
      <c r="D153" s="145"/>
      <c r="E153" s="139" t="s">
        <v>30</v>
      </c>
      <c r="F153" s="140"/>
      <c r="G153" s="139" t="s">
        <v>31</v>
      </c>
      <c r="H153" s="140"/>
      <c r="I153" s="148"/>
      <c r="J153" s="151"/>
      <c r="K153" s="6">
        <v>238</v>
      </c>
    </row>
    <row r="154" spans="1:11">
      <c r="A154" s="32" t="str">
        <f t="shared" si="5"/>
        <v>DM13239</v>
      </c>
      <c r="B154" s="93">
        <f t="shared" si="6"/>
        <v>43240</v>
      </c>
      <c r="C154" s="145"/>
      <c r="D154" s="145"/>
      <c r="E154" s="139" t="s">
        <v>11</v>
      </c>
      <c r="F154" s="140"/>
      <c r="G154" s="139" t="s">
        <v>12</v>
      </c>
      <c r="H154" s="140"/>
      <c r="I154" s="148"/>
      <c r="J154" s="151"/>
      <c r="K154" s="6">
        <v>239</v>
      </c>
    </row>
    <row r="155" spans="1:11">
      <c r="A155" s="32" t="str">
        <f t="shared" si="5"/>
        <v>DM13240</v>
      </c>
      <c r="B155" s="93">
        <f t="shared" si="6"/>
        <v>43241</v>
      </c>
      <c r="C155" s="145"/>
      <c r="D155" s="145"/>
      <c r="E155" s="139" t="s">
        <v>13</v>
      </c>
      <c r="F155" s="140"/>
      <c r="G155" s="139" t="s">
        <v>14</v>
      </c>
      <c r="H155" s="140"/>
      <c r="I155" s="148"/>
      <c r="J155" s="151"/>
      <c r="K155" s="6">
        <v>240</v>
      </c>
    </row>
    <row r="156" spans="1:11">
      <c r="A156" s="32" t="str">
        <f t="shared" si="5"/>
        <v>DM13241</v>
      </c>
      <c r="B156" s="93">
        <f t="shared" si="6"/>
        <v>43242</v>
      </c>
      <c r="C156" s="145"/>
      <c r="D156" s="145"/>
      <c r="E156" s="139" t="s">
        <v>16</v>
      </c>
      <c r="F156" s="140"/>
      <c r="G156" s="139" t="s">
        <v>17</v>
      </c>
      <c r="H156" s="140"/>
      <c r="I156" s="148"/>
      <c r="J156" s="151"/>
      <c r="K156" s="6">
        <v>241</v>
      </c>
    </row>
    <row r="157" spans="1:11">
      <c r="A157" s="32" t="str">
        <f t="shared" si="5"/>
        <v>DM13242</v>
      </c>
      <c r="B157" s="93">
        <f t="shared" si="6"/>
        <v>43243</v>
      </c>
      <c r="C157" s="145"/>
      <c r="D157" s="145"/>
      <c r="E157" s="139" t="s">
        <v>18</v>
      </c>
      <c r="F157" s="140"/>
      <c r="G157" s="139" t="s">
        <v>19</v>
      </c>
      <c r="H157" s="140"/>
      <c r="I157" s="148"/>
      <c r="J157" s="151"/>
      <c r="K157" s="6">
        <v>242</v>
      </c>
    </row>
    <row r="158" spans="1:11">
      <c r="A158" s="32" t="str">
        <f t="shared" si="5"/>
        <v>DM13243</v>
      </c>
      <c r="B158" s="93">
        <f t="shared" si="6"/>
        <v>43244</v>
      </c>
      <c r="C158" s="145"/>
      <c r="D158" s="145"/>
      <c r="E158" s="139" t="s">
        <v>20</v>
      </c>
      <c r="F158" s="140"/>
      <c r="G158" s="139" t="s">
        <v>21</v>
      </c>
      <c r="H158" s="140"/>
      <c r="I158" s="148"/>
      <c r="J158" s="151"/>
      <c r="K158" s="6">
        <v>243</v>
      </c>
    </row>
    <row r="159" spans="1:11">
      <c r="A159" s="32" t="str">
        <f t="shared" si="5"/>
        <v>DM13244</v>
      </c>
      <c r="B159" s="93">
        <f t="shared" si="6"/>
        <v>43245</v>
      </c>
      <c r="C159" s="146"/>
      <c r="D159" s="146"/>
      <c r="E159" s="139" t="s">
        <v>22</v>
      </c>
      <c r="F159" s="140"/>
      <c r="G159" s="139" t="s">
        <v>23</v>
      </c>
      <c r="H159" s="140"/>
      <c r="I159" s="149"/>
      <c r="J159" s="152"/>
      <c r="K159" s="6">
        <v>244</v>
      </c>
    </row>
    <row r="160" spans="1:11">
      <c r="A160" s="32" t="str">
        <f t="shared" si="5"/>
        <v>DM13245</v>
      </c>
      <c r="B160" s="93">
        <f t="shared" si="6"/>
        <v>43246</v>
      </c>
      <c r="C160" s="144" t="s">
        <v>135</v>
      </c>
      <c r="D160" s="144" t="s">
        <v>81</v>
      </c>
      <c r="E160" s="139" t="s">
        <v>25</v>
      </c>
      <c r="F160" s="140"/>
      <c r="G160" s="139" t="s">
        <v>65</v>
      </c>
      <c r="H160" s="140"/>
      <c r="I160" s="147" t="s">
        <v>136</v>
      </c>
      <c r="J160" s="150" t="s">
        <v>64</v>
      </c>
      <c r="K160" s="6">
        <v>245</v>
      </c>
    </row>
    <row r="161" spans="1:11">
      <c r="A161" s="32" t="str">
        <f t="shared" si="5"/>
        <v>DM13246</v>
      </c>
      <c r="B161" s="93">
        <f t="shared" si="6"/>
        <v>43247</v>
      </c>
      <c r="C161" s="145"/>
      <c r="D161" s="145"/>
      <c r="E161" s="139" t="s">
        <v>26</v>
      </c>
      <c r="F161" s="140"/>
      <c r="G161" s="139" t="s">
        <v>27</v>
      </c>
      <c r="H161" s="140"/>
      <c r="I161" s="148"/>
      <c r="J161" s="151"/>
      <c r="K161" s="6">
        <v>246</v>
      </c>
    </row>
    <row r="162" spans="1:11">
      <c r="A162" s="32" t="str">
        <f t="shared" si="5"/>
        <v>DM13247</v>
      </c>
      <c r="B162" s="93">
        <f t="shared" si="6"/>
        <v>43248</v>
      </c>
      <c r="C162" s="145"/>
      <c r="D162" s="145"/>
      <c r="E162" s="139" t="s">
        <v>28</v>
      </c>
      <c r="F162" s="140"/>
      <c r="G162" s="139" t="s">
        <v>29</v>
      </c>
      <c r="H162" s="140"/>
      <c r="I162" s="148"/>
      <c r="J162" s="151"/>
      <c r="K162" s="6">
        <v>247</v>
      </c>
    </row>
    <row r="163" spans="1:11">
      <c r="A163" s="32" t="str">
        <f t="shared" si="5"/>
        <v>DM13248</v>
      </c>
      <c r="B163" s="93">
        <f t="shared" si="6"/>
        <v>43249</v>
      </c>
      <c r="C163" s="145"/>
      <c r="D163" s="145"/>
      <c r="E163" s="139" t="s">
        <v>30</v>
      </c>
      <c r="F163" s="140"/>
      <c r="G163" s="139" t="s">
        <v>31</v>
      </c>
      <c r="H163" s="140"/>
      <c r="I163" s="148"/>
      <c r="J163" s="151"/>
      <c r="K163" s="6">
        <v>248</v>
      </c>
    </row>
    <row r="164" spans="1:11">
      <c r="A164" s="32" t="str">
        <f t="shared" si="5"/>
        <v>DM13249</v>
      </c>
      <c r="B164" s="93">
        <f t="shared" si="6"/>
        <v>43250</v>
      </c>
      <c r="C164" s="145"/>
      <c r="D164" s="145"/>
      <c r="E164" s="139" t="s">
        <v>11</v>
      </c>
      <c r="F164" s="140"/>
      <c r="G164" s="139" t="s">
        <v>12</v>
      </c>
      <c r="H164" s="140"/>
      <c r="I164" s="148"/>
      <c r="J164" s="151"/>
      <c r="K164" s="6">
        <v>249</v>
      </c>
    </row>
    <row r="165" spans="1:11">
      <c r="A165" s="32" t="str">
        <f t="shared" si="5"/>
        <v>DM13250</v>
      </c>
      <c r="B165" s="93">
        <f t="shared" si="6"/>
        <v>43251</v>
      </c>
      <c r="C165" s="145"/>
      <c r="D165" s="145"/>
      <c r="E165" s="139" t="s">
        <v>13</v>
      </c>
      <c r="F165" s="140"/>
      <c r="G165" s="139" t="s">
        <v>14</v>
      </c>
      <c r="H165" s="140"/>
      <c r="I165" s="148"/>
      <c r="J165" s="151"/>
      <c r="K165" s="6">
        <v>250</v>
      </c>
    </row>
    <row r="166" spans="1:11">
      <c r="A166" s="32" t="str">
        <f t="shared" si="5"/>
        <v>DM13251</v>
      </c>
      <c r="B166" s="93">
        <f t="shared" si="6"/>
        <v>43252</v>
      </c>
      <c r="C166" s="145"/>
      <c r="D166" s="145"/>
      <c r="E166" s="139" t="s">
        <v>16</v>
      </c>
      <c r="F166" s="140"/>
      <c r="G166" s="139" t="s">
        <v>17</v>
      </c>
      <c r="H166" s="140"/>
      <c r="I166" s="148"/>
      <c r="J166" s="151"/>
      <c r="K166" s="6">
        <v>251</v>
      </c>
    </row>
    <row r="167" spans="1:11">
      <c r="A167" s="32" t="str">
        <f t="shared" si="5"/>
        <v>DM13252</v>
      </c>
      <c r="B167" s="93">
        <f t="shared" si="6"/>
        <v>43253</v>
      </c>
      <c r="C167" s="145"/>
      <c r="D167" s="145"/>
      <c r="E167" s="139" t="s">
        <v>18</v>
      </c>
      <c r="F167" s="140"/>
      <c r="G167" s="139" t="s">
        <v>19</v>
      </c>
      <c r="H167" s="140"/>
      <c r="I167" s="148"/>
      <c r="J167" s="151"/>
      <c r="K167" s="6">
        <v>252</v>
      </c>
    </row>
    <row r="168" spans="1:11">
      <c r="A168" s="32" t="str">
        <f t="shared" si="5"/>
        <v>DM13253</v>
      </c>
      <c r="B168" s="93">
        <f t="shared" si="6"/>
        <v>43254</v>
      </c>
      <c r="C168" s="145"/>
      <c r="D168" s="145"/>
      <c r="E168" s="139" t="s">
        <v>20</v>
      </c>
      <c r="F168" s="140"/>
      <c r="G168" s="139" t="s">
        <v>21</v>
      </c>
      <c r="H168" s="140"/>
      <c r="I168" s="148"/>
      <c r="J168" s="151"/>
      <c r="K168" s="6">
        <v>253</v>
      </c>
    </row>
    <row r="169" spans="1:11">
      <c r="A169" s="32" t="str">
        <f t="shared" si="5"/>
        <v>DM13254</v>
      </c>
      <c r="B169" s="93">
        <f t="shared" si="6"/>
        <v>43255</v>
      </c>
      <c r="C169" s="146"/>
      <c r="D169" s="146"/>
      <c r="E169" s="139" t="s">
        <v>22</v>
      </c>
      <c r="F169" s="140"/>
      <c r="G169" s="139" t="s">
        <v>23</v>
      </c>
      <c r="H169" s="140"/>
      <c r="I169" s="149"/>
      <c r="J169" s="152"/>
      <c r="K169" s="6">
        <v>254</v>
      </c>
    </row>
    <row r="170" spans="1:11">
      <c r="A170" s="32" t="str">
        <f t="shared" si="5"/>
        <v>DM13255</v>
      </c>
      <c r="B170" s="93">
        <f t="shared" si="6"/>
        <v>43256</v>
      </c>
      <c r="C170" s="144" t="s">
        <v>137</v>
      </c>
      <c r="D170" s="144" t="s">
        <v>81</v>
      </c>
      <c r="E170" s="139" t="s">
        <v>25</v>
      </c>
      <c r="F170" s="140"/>
      <c r="G170" s="139" t="s">
        <v>65</v>
      </c>
      <c r="H170" s="140"/>
      <c r="I170" s="147" t="s">
        <v>138</v>
      </c>
      <c r="J170" s="150" t="s">
        <v>64</v>
      </c>
      <c r="K170" s="6">
        <v>255</v>
      </c>
    </row>
    <row r="171" spans="1:11">
      <c r="A171" s="32" t="str">
        <f t="shared" si="5"/>
        <v>DM13256</v>
      </c>
      <c r="B171" s="93">
        <f t="shared" si="6"/>
        <v>43257</v>
      </c>
      <c r="C171" s="145"/>
      <c r="D171" s="145"/>
      <c r="E171" s="139" t="s">
        <v>26</v>
      </c>
      <c r="F171" s="140"/>
      <c r="G171" s="139" t="s">
        <v>27</v>
      </c>
      <c r="H171" s="140"/>
      <c r="I171" s="148"/>
      <c r="J171" s="151"/>
      <c r="K171" s="6">
        <v>256</v>
      </c>
    </row>
    <row r="172" spans="1:11">
      <c r="A172" s="32" t="str">
        <f t="shared" si="5"/>
        <v>DM13257</v>
      </c>
      <c r="B172" s="93">
        <f t="shared" si="6"/>
        <v>43258</v>
      </c>
      <c r="C172" s="145"/>
      <c r="D172" s="145"/>
      <c r="E172" s="139" t="s">
        <v>28</v>
      </c>
      <c r="F172" s="140"/>
      <c r="G172" s="139" t="s">
        <v>29</v>
      </c>
      <c r="H172" s="140"/>
      <c r="I172" s="148"/>
      <c r="J172" s="151"/>
      <c r="K172" s="6">
        <v>257</v>
      </c>
    </row>
    <row r="173" spans="1:11">
      <c r="A173" s="32" t="str">
        <f t="shared" si="5"/>
        <v>DM13258</v>
      </c>
      <c r="B173" s="93">
        <f t="shared" si="6"/>
        <v>43259</v>
      </c>
      <c r="C173" s="145"/>
      <c r="D173" s="145"/>
      <c r="E173" s="139" t="s">
        <v>30</v>
      </c>
      <c r="F173" s="140"/>
      <c r="G173" s="139" t="s">
        <v>31</v>
      </c>
      <c r="H173" s="140"/>
      <c r="I173" s="148"/>
      <c r="J173" s="151"/>
      <c r="K173" s="6">
        <v>258</v>
      </c>
    </row>
    <row r="174" spans="1:11">
      <c r="A174" s="32" t="str">
        <f t="shared" si="5"/>
        <v>DM13259</v>
      </c>
      <c r="B174" s="93">
        <f t="shared" si="6"/>
        <v>43260</v>
      </c>
      <c r="C174" s="145"/>
      <c r="D174" s="145"/>
      <c r="E174" s="139" t="s">
        <v>11</v>
      </c>
      <c r="F174" s="140"/>
      <c r="G174" s="139" t="s">
        <v>12</v>
      </c>
      <c r="H174" s="140"/>
      <c r="I174" s="148"/>
      <c r="J174" s="151"/>
      <c r="K174" s="6">
        <v>259</v>
      </c>
    </row>
    <row r="175" spans="1:11">
      <c r="A175" s="32" t="str">
        <f t="shared" si="5"/>
        <v>DM13260</v>
      </c>
      <c r="B175" s="93">
        <f t="shared" si="6"/>
        <v>43261</v>
      </c>
      <c r="C175" s="145"/>
      <c r="D175" s="145"/>
      <c r="E175" s="139" t="s">
        <v>13</v>
      </c>
      <c r="F175" s="140"/>
      <c r="G175" s="139" t="s">
        <v>14</v>
      </c>
      <c r="H175" s="140"/>
      <c r="I175" s="148"/>
      <c r="J175" s="151"/>
      <c r="K175" s="6">
        <v>260</v>
      </c>
    </row>
    <row r="176" spans="1:11">
      <c r="A176" s="32" t="str">
        <f t="shared" si="5"/>
        <v>DM13261</v>
      </c>
      <c r="B176" s="93">
        <f t="shared" si="6"/>
        <v>43262</v>
      </c>
      <c r="C176" s="145"/>
      <c r="D176" s="145"/>
      <c r="E176" s="139" t="s">
        <v>16</v>
      </c>
      <c r="F176" s="140"/>
      <c r="G176" s="139" t="s">
        <v>17</v>
      </c>
      <c r="H176" s="140"/>
      <c r="I176" s="148"/>
      <c r="J176" s="151"/>
      <c r="K176" s="6">
        <v>261</v>
      </c>
    </row>
    <row r="177" spans="1:11">
      <c r="A177" s="32" t="str">
        <f t="shared" si="5"/>
        <v>DM13262</v>
      </c>
      <c r="B177" s="93">
        <f t="shared" si="6"/>
        <v>43263</v>
      </c>
      <c r="C177" s="145"/>
      <c r="D177" s="145"/>
      <c r="E177" s="139" t="s">
        <v>18</v>
      </c>
      <c r="F177" s="140"/>
      <c r="G177" s="139" t="s">
        <v>19</v>
      </c>
      <c r="H177" s="140"/>
      <c r="I177" s="148"/>
      <c r="J177" s="151"/>
      <c r="K177" s="6">
        <v>262</v>
      </c>
    </row>
    <row r="178" spans="1:11">
      <c r="A178" s="32" t="str">
        <f t="shared" si="5"/>
        <v>DM13263</v>
      </c>
      <c r="B178" s="93">
        <f t="shared" si="6"/>
        <v>43264</v>
      </c>
      <c r="C178" s="145"/>
      <c r="D178" s="145"/>
      <c r="E178" s="139" t="s">
        <v>20</v>
      </c>
      <c r="F178" s="140"/>
      <c r="G178" s="139" t="s">
        <v>21</v>
      </c>
      <c r="H178" s="140"/>
      <c r="I178" s="148"/>
      <c r="J178" s="151"/>
      <c r="K178" s="6">
        <v>263</v>
      </c>
    </row>
    <row r="179" spans="1:11">
      <c r="A179" s="32" t="str">
        <f t="shared" si="5"/>
        <v>DM13264</v>
      </c>
      <c r="B179" s="93">
        <f t="shared" si="6"/>
        <v>43265</v>
      </c>
      <c r="C179" s="146"/>
      <c r="D179" s="146"/>
      <c r="E179" s="139" t="s">
        <v>22</v>
      </c>
      <c r="F179" s="140"/>
      <c r="G179" s="139" t="s">
        <v>23</v>
      </c>
      <c r="H179" s="140"/>
      <c r="I179" s="149"/>
      <c r="J179" s="152"/>
      <c r="K179" s="6">
        <v>264</v>
      </c>
    </row>
    <row r="180" spans="1:11">
      <c r="A180" s="32" t="str">
        <f t="shared" si="5"/>
        <v>DM13265</v>
      </c>
      <c r="B180" s="93">
        <f t="shared" si="6"/>
        <v>43266</v>
      </c>
      <c r="C180" s="144" t="s">
        <v>139</v>
      </c>
      <c r="D180" s="144" t="s">
        <v>81</v>
      </c>
      <c r="E180" s="139" t="s">
        <v>25</v>
      </c>
      <c r="F180" s="140"/>
      <c r="G180" s="139" t="s">
        <v>65</v>
      </c>
      <c r="H180" s="140"/>
      <c r="I180" s="147" t="s">
        <v>140</v>
      </c>
      <c r="J180" s="150" t="s">
        <v>64</v>
      </c>
      <c r="K180" s="6">
        <v>265</v>
      </c>
    </row>
    <row r="181" spans="1:11">
      <c r="A181" s="32" t="str">
        <f t="shared" si="5"/>
        <v>DM13266</v>
      </c>
      <c r="B181" s="93">
        <f t="shared" si="6"/>
        <v>43267</v>
      </c>
      <c r="C181" s="145"/>
      <c r="D181" s="145"/>
      <c r="E181" s="139" t="s">
        <v>26</v>
      </c>
      <c r="F181" s="140"/>
      <c r="G181" s="139" t="s">
        <v>27</v>
      </c>
      <c r="H181" s="140"/>
      <c r="I181" s="148"/>
      <c r="J181" s="151"/>
      <c r="K181" s="6">
        <v>266</v>
      </c>
    </row>
    <row r="182" spans="1:11">
      <c r="A182" s="32" t="str">
        <f t="shared" si="5"/>
        <v>DM13267</v>
      </c>
      <c r="B182" s="93">
        <f t="shared" si="6"/>
        <v>43268</v>
      </c>
      <c r="C182" s="145"/>
      <c r="D182" s="145"/>
      <c r="E182" s="139" t="s">
        <v>28</v>
      </c>
      <c r="F182" s="140"/>
      <c r="G182" s="139" t="s">
        <v>29</v>
      </c>
      <c r="H182" s="140"/>
      <c r="I182" s="148"/>
      <c r="J182" s="151"/>
      <c r="K182" s="6">
        <v>267</v>
      </c>
    </row>
    <row r="183" spans="1:11">
      <c r="A183" s="32" t="str">
        <f t="shared" si="5"/>
        <v>DM13268</v>
      </c>
      <c r="B183" s="93">
        <f t="shared" si="6"/>
        <v>43269</v>
      </c>
      <c r="C183" s="145"/>
      <c r="D183" s="145"/>
      <c r="E183" s="139" t="s">
        <v>30</v>
      </c>
      <c r="F183" s="140"/>
      <c r="G183" s="139" t="s">
        <v>31</v>
      </c>
      <c r="H183" s="140"/>
      <c r="I183" s="148"/>
      <c r="J183" s="151"/>
      <c r="K183" s="6">
        <v>268</v>
      </c>
    </row>
    <row r="184" spans="1:11">
      <c r="A184" s="32" t="str">
        <f t="shared" si="5"/>
        <v>DM13269</v>
      </c>
      <c r="B184" s="93">
        <f t="shared" si="6"/>
        <v>43270</v>
      </c>
      <c r="C184" s="145"/>
      <c r="D184" s="145"/>
      <c r="E184" s="139" t="s">
        <v>11</v>
      </c>
      <c r="F184" s="140"/>
      <c r="G184" s="139" t="s">
        <v>12</v>
      </c>
      <c r="H184" s="140"/>
      <c r="I184" s="148"/>
      <c r="J184" s="151"/>
      <c r="K184" s="6">
        <v>269</v>
      </c>
    </row>
    <row r="185" spans="1:11">
      <c r="A185" s="32" t="str">
        <f t="shared" si="5"/>
        <v>DM13270</v>
      </c>
      <c r="B185" s="93">
        <f t="shared" si="6"/>
        <v>43271</v>
      </c>
      <c r="C185" s="145"/>
      <c r="D185" s="145"/>
      <c r="E185" s="139" t="s">
        <v>13</v>
      </c>
      <c r="F185" s="140"/>
      <c r="G185" s="139" t="s">
        <v>14</v>
      </c>
      <c r="H185" s="140"/>
      <c r="I185" s="148"/>
      <c r="J185" s="151"/>
      <c r="K185" s="6">
        <v>270</v>
      </c>
    </row>
    <row r="186" spans="1:11">
      <c r="A186" s="32" t="str">
        <f t="shared" si="5"/>
        <v>DM13271</v>
      </c>
      <c r="B186" s="93">
        <f t="shared" si="6"/>
        <v>43272</v>
      </c>
      <c r="C186" s="145"/>
      <c r="D186" s="145"/>
      <c r="E186" s="139" t="s">
        <v>16</v>
      </c>
      <c r="F186" s="140"/>
      <c r="G186" s="139" t="s">
        <v>17</v>
      </c>
      <c r="H186" s="140"/>
      <c r="I186" s="148"/>
      <c r="J186" s="151"/>
      <c r="K186" s="6">
        <v>271</v>
      </c>
    </row>
    <row r="187" spans="1:11">
      <c r="A187" s="32" t="str">
        <f t="shared" si="5"/>
        <v>DM13272</v>
      </c>
      <c r="B187" s="93">
        <f t="shared" si="6"/>
        <v>43273</v>
      </c>
      <c r="C187" s="145"/>
      <c r="D187" s="145"/>
      <c r="E187" s="139" t="s">
        <v>18</v>
      </c>
      <c r="F187" s="140"/>
      <c r="G187" s="139" t="s">
        <v>19</v>
      </c>
      <c r="H187" s="140"/>
      <c r="I187" s="148"/>
      <c r="J187" s="151"/>
      <c r="K187" s="6">
        <v>272</v>
      </c>
    </row>
    <row r="188" spans="1:11">
      <c r="A188" s="32" t="str">
        <f t="shared" si="5"/>
        <v>DM13273</v>
      </c>
      <c r="B188" s="93">
        <f t="shared" si="6"/>
        <v>43274</v>
      </c>
      <c r="C188" s="145"/>
      <c r="D188" s="145"/>
      <c r="E188" s="139" t="s">
        <v>20</v>
      </c>
      <c r="F188" s="140"/>
      <c r="G188" s="139" t="s">
        <v>21</v>
      </c>
      <c r="H188" s="140"/>
      <c r="I188" s="148"/>
      <c r="J188" s="151"/>
      <c r="K188" s="6">
        <v>273</v>
      </c>
    </row>
    <row r="189" spans="1:11">
      <c r="A189" s="32" t="str">
        <f t="shared" si="5"/>
        <v>DM13274</v>
      </c>
      <c r="B189" s="93">
        <f t="shared" si="6"/>
        <v>43275</v>
      </c>
      <c r="C189" s="146"/>
      <c r="D189" s="146"/>
      <c r="E189" s="139" t="s">
        <v>22</v>
      </c>
      <c r="F189" s="140"/>
      <c r="G189" s="139" t="s">
        <v>23</v>
      </c>
      <c r="H189" s="140"/>
      <c r="I189" s="149"/>
      <c r="J189" s="152"/>
      <c r="K189" s="6">
        <v>274</v>
      </c>
    </row>
    <row r="190" spans="1:11">
      <c r="A190" s="32" t="str">
        <f t="shared" si="5"/>
        <v>DM13275</v>
      </c>
      <c r="B190" s="93">
        <f t="shared" si="6"/>
        <v>43276</v>
      </c>
      <c r="C190" s="144" t="s">
        <v>141</v>
      </c>
      <c r="D190" s="144" t="s">
        <v>81</v>
      </c>
      <c r="E190" s="139" t="s">
        <v>25</v>
      </c>
      <c r="F190" s="140"/>
      <c r="G190" s="139" t="s">
        <v>65</v>
      </c>
      <c r="H190" s="140"/>
      <c r="I190" s="147" t="s">
        <v>142</v>
      </c>
      <c r="J190" s="150" t="s">
        <v>64</v>
      </c>
      <c r="K190" s="6">
        <v>275</v>
      </c>
    </row>
    <row r="191" spans="1:11">
      <c r="A191" s="32" t="str">
        <f t="shared" si="5"/>
        <v>DM13276</v>
      </c>
      <c r="B191" s="93">
        <f t="shared" si="6"/>
        <v>43277</v>
      </c>
      <c r="C191" s="145"/>
      <c r="D191" s="145"/>
      <c r="E191" s="139" t="s">
        <v>26</v>
      </c>
      <c r="F191" s="140"/>
      <c r="G191" s="139" t="s">
        <v>27</v>
      </c>
      <c r="H191" s="140"/>
      <c r="I191" s="148"/>
      <c r="J191" s="151"/>
      <c r="K191" s="6">
        <v>276</v>
      </c>
    </row>
    <row r="192" spans="1:11">
      <c r="A192" s="32" t="str">
        <f t="shared" si="5"/>
        <v>DM13277</v>
      </c>
      <c r="B192" s="93">
        <f t="shared" si="6"/>
        <v>43278</v>
      </c>
      <c r="C192" s="145"/>
      <c r="D192" s="145"/>
      <c r="E192" s="139" t="s">
        <v>28</v>
      </c>
      <c r="F192" s="140"/>
      <c r="G192" s="139" t="s">
        <v>29</v>
      </c>
      <c r="H192" s="140"/>
      <c r="I192" s="148"/>
      <c r="J192" s="151"/>
      <c r="K192" s="6">
        <v>277</v>
      </c>
    </row>
    <row r="193" spans="1:11">
      <c r="A193" s="32" t="str">
        <f t="shared" ref="A193:A256" si="7">LEFT($D$3, 2) &amp; (MID($D$3, 3, LEN($D$3)) + K193)</f>
        <v>DM13278</v>
      </c>
      <c r="B193" s="93">
        <f t="shared" ref="B193:B256" si="8">$D$4+K193</f>
        <v>43279</v>
      </c>
      <c r="C193" s="145"/>
      <c r="D193" s="145"/>
      <c r="E193" s="139" t="s">
        <v>30</v>
      </c>
      <c r="F193" s="140"/>
      <c r="G193" s="139" t="s">
        <v>31</v>
      </c>
      <c r="H193" s="140"/>
      <c r="I193" s="148"/>
      <c r="J193" s="151"/>
      <c r="K193" s="6">
        <v>278</v>
      </c>
    </row>
    <row r="194" spans="1:11">
      <c r="A194" s="32" t="str">
        <f t="shared" si="7"/>
        <v>DM13279</v>
      </c>
      <c r="B194" s="93">
        <f t="shared" si="8"/>
        <v>43280</v>
      </c>
      <c r="C194" s="145"/>
      <c r="D194" s="145"/>
      <c r="E194" s="139" t="s">
        <v>11</v>
      </c>
      <c r="F194" s="140"/>
      <c r="G194" s="139" t="s">
        <v>12</v>
      </c>
      <c r="H194" s="140"/>
      <c r="I194" s="148"/>
      <c r="J194" s="151"/>
      <c r="K194" s="6">
        <v>279</v>
      </c>
    </row>
    <row r="195" spans="1:11">
      <c r="A195" s="32" t="str">
        <f t="shared" si="7"/>
        <v>DM13280</v>
      </c>
      <c r="B195" s="93">
        <f t="shared" si="8"/>
        <v>43281</v>
      </c>
      <c r="C195" s="145"/>
      <c r="D195" s="145"/>
      <c r="E195" s="139" t="s">
        <v>13</v>
      </c>
      <c r="F195" s="140"/>
      <c r="G195" s="139" t="s">
        <v>14</v>
      </c>
      <c r="H195" s="140"/>
      <c r="I195" s="148"/>
      <c r="J195" s="151"/>
      <c r="K195" s="6">
        <v>280</v>
      </c>
    </row>
    <row r="196" spans="1:11">
      <c r="A196" s="32" t="str">
        <f t="shared" si="7"/>
        <v>DM13281</v>
      </c>
      <c r="B196" s="93">
        <f t="shared" si="8"/>
        <v>43282</v>
      </c>
      <c r="C196" s="145"/>
      <c r="D196" s="145"/>
      <c r="E196" s="139" t="s">
        <v>16</v>
      </c>
      <c r="F196" s="140"/>
      <c r="G196" s="139" t="s">
        <v>17</v>
      </c>
      <c r="H196" s="140"/>
      <c r="I196" s="148"/>
      <c r="J196" s="151"/>
      <c r="K196" s="6">
        <v>281</v>
      </c>
    </row>
    <row r="197" spans="1:11">
      <c r="A197" s="32" t="str">
        <f t="shared" si="7"/>
        <v>DM13282</v>
      </c>
      <c r="B197" s="93">
        <f t="shared" si="8"/>
        <v>43283</v>
      </c>
      <c r="C197" s="145"/>
      <c r="D197" s="145"/>
      <c r="E197" s="139" t="s">
        <v>18</v>
      </c>
      <c r="F197" s="140"/>
      <c r="G197" s="139" t="s">
        <v>19</v>
      </c>
      <c r="H197" s="140"/>
      <c r="I197" s="148"/>
      <c r="J197" s="151"/>
      <c r="K197" s="6">
        <v>282</v>
      </c>
    </row>
    <row r="198" spans="1:11">
      <c r="A198" s="32" t="str">
        <f t="shared" si="7"/>
        <v>DM13283</v>
      </c>
      <c r="B198" s="93">
        <f t="shared" si="8"/>
        <v>43284</v>
      </c>
      <c r="C198" s="145"/>
      <c r="D198" s="145"/>
      <c r="E198" s="139" t="s">
        <v>20</v>
      </c>
      <c r="F198" s="140"/>
      <c r="G198" s="139" t="s">
        <v>21</v>
      </c>
      <c r="H198" s="140"/>
      <c r="I198" s="148"/>
      <c r="J198" s="151"/>
      <c r="K198" s="6">
        <v>283</v>
      </c>
    </row>
    <row r="199" spans="1:11">
      <c r="A199" s="32" t="str">
        <f t="shared" si="7"/>
        <v>DM13284</v>
      </c>
      <c r="B199" s="93">
        <f t="shared" si="8"/>
        <v>43285</v>
      </c>
      <c r="C199" s="146"/>
      <c r="D199" s="146"/>
      <c r="E199" s="139" t="s">
        <v>22</v>
      </c>
      <c r="F199" s="140"/>
      <c r="G199" s="139" t="s">
        <v>23</v>
      </c>
      <c r="H199" s="140"/>
      <c r="I199" s="149"/>
      <c r="J199" s="152"/>
      <c r="K199" s="6">
        <v>284</v>
      </c>
    </row>
    <row r="200" spans="1:11">
      <c r="A200" s="32" t="str">
        <f t="shared" si="7"/>
        <v>DM13285</v>
      </c>
      <c r="B200" s="93">
        <f t="shared" si="8"/>
        <v>43286</v>
      </c>
      <c r="C200" s="144" t="s">
        <v>143</v>
      </c>
      <c r="D200" s="144" t="s">
        <v>81</v>
      </c>
      <c r="E200" s="139" t="s">
        <v>25</v>
      </c>
      <c r="F200" s="140"/>
      <c r="G200" s="139" t="s">
        <v>65</v>
      </c>
      <c r="H200" s="140"/>
      <c r="I200" s="147" t="s">
        <v>144</v>
      </c>
      <c r="J200" s="150" t="s">
        <v>64</v>
      </c>
      <c r="K200" s="6">
        <v>285</v>
      </c>
    </row>
    <row r="201" spans="1:11">
      <c r="A201" s="32" t="str">
        <f t="shared" si="7"/>
        <v>DM13286</v>
      </c>
      <c r="B201" s="93">
        <f t="shared" si="8"/>
        <v>43287</v>
      </c>
      <c r="C201" s="145"/>
      <c r="D201" s="145"/>
      <c r="E201" s="139" t="s">
        <v>26</v>
      </c>
      <c r="F201" s="140"/>
      <c r="G201" s="139" t="s">
        <v>27</v>
      </c>
      <c r="H201" s="140"/>
      <c r="I201" s="148"/>
      <c r="J201" s="151"/>
      <c r="K201" s="6">
        <v>286</v>
      </c>
    </row>
    <row r="202" spans="1:11">
      <c r="A202" s="32" t="str">
        <f t="shared" si="7"/>
        <v>DM13287</v>
      </c>
      <c r="B202" s="93">
        <f t="shared" si="8"/>
        <v>43288</v>
      </c>
      <c r="C202" s="145"/>
      <c r="D202" s="145"/>
      <c r="E202" s="139" t="s">
        <v>28</v>
      </c>
      <c r="F202" s="140"/>
      <c r="G202" s="139" t="s">
        <v>29</v>
      </c>
      <c r="H202" s="140"/>
      <c r="I202" s="148"/>
      <c r="J202" s="151"/>
      <c r="K202" s="6">
        <v>287</v>
      </c>
    </row>
    <row r="203" spans="1:11">
      <c r="A203" s="32" t="str">
        <f t="shared" si="7"/>
        <v>DM13288</v>
      </c>
      <c r="B203" s="93">
        <f t="shared" si="8"/>
        <v>43289</v>
      </c>
      <c r="C203" s="145"/>
      <c r="D203" s="145"/>
      <c r="E203" s="139" t="s">
        <v>30</v>
      </c>
      <c r="F203" s="140"/>
      <c r="G203" s="139" t="s">
        <v>31</v>
      </c>
      <c r="H203" s="140"/>
      <c r="I203" s="148"/>
      <c r="J203" s="151"/>
      <c r="K203" s="6">
        <v>288</v>
      </c>
    </row>
    <row r="204" spans="1:11">
      <c r="A204" s="32" t="str">
        <f t="shared" si="7"/>
        <v>DM13289</v>
      </c>
      <c r="B204" s="93">
        <f t="shared" si="8"/>
        <v>43290</v>
      </c>
      <c r="C204" s="145"/>
      <c r="D204" s="145"/>
      <c r="E204" s="139" t="s">
        <v>11</v>
      </c>
      <c r="F204" s="140"/>
      <c r="G204" s="139" t="s">
        <v>12</v>
      </c>
      <c r="H204" s="140"/>
      <c r="I204" s="148"/>
      <c r="J204" s="151"/>
      <c r="K204" s="6">
        <v>289</v>
      </c>
    </row>
    <row r="205" spans="1:11">
      <c r="A205" s="32" t="str">
        <f t="shared" si="7"/>
        <v>DM13290</v>
      </c>
      <c r="B205" s="93">
        <f t="shared" si="8"/>
        <v>43291</v>
      </c>
      <c r="C205" s="145"/>
      <c r="D205" s="145"/>
      <c r="E205" s="139" t="s">
        <v>13</v>
      </c>
      <c r="F205" s="140"/>
      <c r="G205" s="139" t="s">
        <v>14</v>
      </c>
      <c r="H205" s="140"/>
      <c r="I205" s="148"/>
      <c r="J205" s="151"/>
      <c r="K205" s="6">
        <v>290</v>
      </c>
    </row>
    <row r="206" spans="1:11">
      <c r="A206" s="32" t="str">
        <f t="shared" si="7"/>
        <v>DM13291</v>
      </c>
      <c r="B206" s="93">
        <f t="shared" si="8"/>
        <v>43292</v>
      </c>
      <c r="C206" s="145"/>
      <c r="D206" s="145"/>
      <c r="E206" s="139" t="s">
        <v>16</v>
      </c>
      <c r="F206" s="140"/>
      <c r="G206" s="139" t="s">
        <v>17</v>
      </c>
      <c r="H206" s="140"/>
      <c r="I206" s="148"/>
      <c r="J206" s="151"/>
      <c r="K206" s="6">
        <v>291</v>
      </c>
    </row>
    <row r="207" spans="1:11">
      <c r="A207" s="32" t="str">
        <f t="shared" si="7"/>
        <v>DM13292</v>
      </c>
      <c r="B207" s="93">
        <f t="shared" si="8"/>
        <v>43293</v>
      </c>
      <c r="C207" s="145"/>
      <c r="D207" s="145"/>
      <c r="E207" s="139" t="s">
        <v>18</v>
      </c>
      <c r="F207" s="140"/>
      <c r="G207" s="139" t="s">
        <v>19</v>
      </c>
      <c r="H207" s="140"/>
      <c r="I207" s="148"/>
      <c r="J207" s="151"/>
      <c r="K207" s="6">
        <v>292</v>
      </c>
    </row>
    <row r="208" spans="1:11">
      <c r="A208" s="32" t="str">
        <f t="shared" si="7"/>
        <v>DM13293</v>
      </c>
      <c r="B208" s="93">
        <f t="shared" si="8"/>
        <v>43294</v>
      </c>
      <c r="C208" s="145"/>
      <c r="D208" s="145"/>
      <c r="E208" s="139" t="s">
        <v>20</v>
      </c>
      <c r="F208" s="140"/>
      <c r="G208" s="139" t="s">
        <v>21</v>
      </c>
      <c r="H208" s="140"/>
      <c r="I208" s="148"/>
      <c r="J208" s="151"/>
      <c r="K208" s="6">
        <v>293</v>
      </c>
    </row>
    <row r="209" spans="1:11">
      <c r="A209" s="32" t="str">
        <f t="shared" si="7"/>
        <v>DM13294</v>
      </c>
      <c r="B209" s="93">
        <f t="shared" si="8"/>
        <v>43295</v>
      </c>
      <c r="C209" s="146"/>
      <c r="D209" s="146"/>
      <c r="E209" s="139" t="s">
        <v>22</v>
      </c>
      <c r="F209" s="140"/>
      <c r="G209" s="139" t="s">
        <v>23</v>
      </c>
      <c r="H209" s="140"/>
      <c r="I209" s="149"/>
      <c r="J209" s="152"/>
      <c r="K209" s="6">
        <v>294</v>
      </c>
    </row>
    <row r="210" spans="1:11">
      <c r="A210" s="32" t="str">
        <f t="shared" si="7"/>
        <v>DM13295</v>
      </c>
      <c r="B210" s="93">
        <f t="shared" si="8"/>
        <v>43296</v>
      </c>
      <c r="C210" s="144" t="s">
        <v>145</v>
      </c>
      <c r="D210" s="144" t="s">
        <v>81</v>
      </c>
      <c r="E210" s="139" t="s">
        <v>25</v>
      </c>
      <c r="F210" s="140"/>
      <c r="G210" s="139" t="s">
        <v>65</v>
      </c>
      <c r="H210" s="140"/>
      <c r="I210" s="147" t="s">
        <v>146</v>
      </c>
      <c r="J210" s="150" t="s">
        <v>64</v>
      </c>
      <c r="K210" s="6">
        <v>295</v>
      </c>
    </row>
    <row r="211" spans="1:11">
      <c r="A211" s="32" t="str">
        <f t="shared" si="7"/>
        <v>DM13296</v>
      </c>
      <c r="B211" s="93">
        <f t="shared" si="8"/>
        <v>43297</v>
      </c>
      <c r="C211" s="145"/>
      <c r="D211" s="145"/>
      <c r="E211" s="139" t="s">
        <v>26</v>
      </c>
      <c r="F211" s="140"/>
      <c r="G211" s="139" t="s">
        <v>27</v>
      </c>
      <c r="H211" s="140"/>
      <c r="I211" s="148"/>
      <c r="J211" s="151"/>
      <c r="K211" s="6">
        <v>296</v>
      </c>
    </row>
    <row r="212" spans="1:11">
      <c r="A212" s="32" t="str">
        <f t="shared" si="7"/>
        <v>DM13297</v>
      </c>
      <c r="B212" s="93">
        <f t="shared" si="8"/>
        <v>43298</v>
      </c>
      <c r="C212" s="145"/>
      <c r="D212" s="145"/>
      <c r="E212" s="139" t="s">
        <v>28</v>
      </c>
      <c r="F212" s="140"/>
      <c r="G212" s="139" t="s">
        <v>29</v>
      </c>
      <c r="H212" s="140"/>
      <c r="I212" s="148"/>
      <c r="J212" s="151"/>
      <c r="K212" s="6">
        <v>297</v>
      </c>
    </row>
    <row r="213" spans="1:11">
      <c r="A213" s="32" t="str">
        <f t="shared" si="7"/>
        <v>DM13298</v>
      </c>
      <c r="B213" s="93">
        <f t="shared" si="8"/>
        <v>43299</v>
      </c>
      <c r="C213" s="145"/>
      <c r="D213" s="145"/>
      <c r="E213" s="139" t="s">
        <v>30</v>
      </c>
      <c r="F213" s="140"/>
      <c r="G213" s="139" t="s">
        <v>31</v>
      </c>
      <c r="H213" s="140"/>
      <c r="I213" s="148"/>
      <c r="J213" s="151"/>
      <c r="K213" s="6">
        <v>298</v>
      </c>
    </row>
    <row r="214" spans="1:11">
      <c r="A214" s="32" t="str">
        <f t="shared" si="7"/>
        <v>DM13299</v>
      </c>
      <c r="B214" s="93">
        <f t="shared" si="8"/>
        <v>43300</v>
      </c>
      <c r="C214" s="145"/>
      <c r="D214" s="145"/>
      <c r="E214" s="139" t="s">
        <v>11</v>
      </c>
      <c r="F214" s="140"/>
      <c r="G214" s="139" t="s">
        <v>12</v>
      </c>
      <c r="H214" s="140"/>
      <c r="I214" s="148"/>
      <c r="J214" s="151"/>
      <c r="K214" s="6">
        <v>299</v>
      </c>
    </row>
    <row r="215" spans="1:11">
      <c r="A215" s="32" t="str">
        <f t="shared" si="7"/>
        <v>DM13300</v>
      </c>
      <c r="B215" s="93">
        <f t="shared" si="8"/>
        <v>43301</v>
      </c>
      <c r="C215" s="145"/>
      <c r="D215" s="145"/>
      <c r="E215" s="139" t="s">
        <v>13</v>
      </c>
      <c r="F215" s="140"/>
      <c r="G215" s="139" t="s">
        <v>14</v>
      </c>
      <c r="H215" s="140"/>
      <c r="I215" s="148"/>
      <c r="J215" s="151"/>
      <c r="K215" s="6">
        <v>300</v>
      </c>
    </row>
    <row r="216" spans="1:11">
      <c r="A216" s="32" t="str">
        <f t="shared" si="7"/>
        <v>DM13301</v>
      </c>
      <c r="B216" s="93">
        <f t="shared" si="8"/>
        <v>43302</v>
      </c>
      <c r="C216" s="145"/>
      <c r="D216" s="145"/>
      <c r="E216" s="139" t="s">
        <v>16</v>
      </c>
      <c r="F216" s="140"/>
      <c r="G216" s="139" t="s">
        <v>17</v>
      </c>
      <c r="H216" s="140"/>
      <c r="I216" s="148"/>
      <c r="J216" s="151"/>
      <c r="K216" s="6">
        <v>301</v>
      </c>
    </row>
    <row r="217" spans="1:11">
      <c r="A217" s="32" t="str">
        <f t="shared" si="7"/>
        <v>DM13302</v>
      </c>
      <c r="B217" s="93">
        <f t="shared" si="8"/>
        <v>43303</v>
      </c>
      <c r="C217" s="145"/>
      <c r="D217" s="145"/>
      <c r="E217" s="139" t="s">
        <v>18</v>
      </c>
      <c r="F217" s="140"/>
      <c r="G217" s="139" t="s">
        <v>19</v>
      </c>
      <c r="H217" s="140"/>
      <c r="I217" s="148"/>
      <c r="J217" s="151"/>
      <c r="K217" s="6">
        <v>302</v>
      </c>
    </row>
    <row r="218" spans="1:11">
      <c r="A218" s="32" t="str">
        <f t="shared" si="7"/>
        <v>DM13303</v>
      </c>
      <c r="B218" s="93">
        <f t="shared" si="8"/>
        <v>43304</v>
      </c>
      <c r="C218" s="145"/>
      <c r="D218" s="145"/>
      <c r="E218" s="139" t="s">
        <v>20</v>
      </c>
      <c r="F218" s="140"/>
      <c r="G218" s="139" t="s">
        <v>21</v>
      </c>
      <c r="H218" s="140"/>
      <c r="I218" s="148"/>
      <c r="J218" s="151"/>
      <c r="K218" s="6">
        <v>303</v>
      </c>
    </row>
    <row r="219" spans="1:11">
      <c r="A219" s="32" t="str">
        <f t="shared" si="7"/>
        <v>DM13304</v>
      </c>
      <c r="B219" s="93">
        <f t="shared" si="8"/>
        <v>43305</v>
      </c>
      <c r="C219" s="146"/>
      <c r="D219" s="146"/>
      <c r="E219" s="139" t="s">
        <v>22</v>
      </c>
      <c r="F219" s="140"/>
      <c r="G219" s="139" t="s">
        <v>23</v>
      </c>
      <c r="H219" s="140"/>
      <c r="I219" s="149"/>
      <c r="J219" s="152"/>
      <c r="K219" s="6">
        <v>304</v>
      </c>
    </row>
    <row r="220" spans="1:11">
      <c r="A220" s="32" t="str">
        <f t="shared" si="7"/>
        <v>DM13305</v>
      </c>
      <c r="B220" s="93">
        <f t="shared" si="8"/>
        <v>43306</v>
      </c>
      <c r="C220" s="144" t="s">
        <v>147</v>
      </c>
      <c r="D220" s="144" t="s">
        <v>81</v>
      </c>
      <c r="E220" s="139" t="s">
        <v>25</v>
      </c>
      <c r="F220" s="140"/>
      <c r="G220" s="139" t="s">
        <v>65</v>
      </c>
      <c r="H220" s="140"/>
      <c r="I220" s="147" t="s">
        <v>148</v>
      </c>
      <c r="J220" s="150" t="s">
        <v>64</v>
      </c>
      <c r="K220" s="6">
        <v>305</v>
      </c>
    </row>
    <row r="221" spans="1:11">
      <c r="A221" s="32" t="str">
        <f t="shared" si="7"/>
        <v>DM13306</v>
      </c>
      <c r="B221" s="93">
        <f t="shared" si="8"/>
        <v>43307</v>
      </c>
      <c r="C221" s="145"/>
      <c r="D221" s="145"/>
      <c r="E221" s="139" t="s">
        <v>26</v>
      </c>
      <c r="F221" s="140"/>
      <c r="G221" s="139" t="s">
        <v>27</v>
      </c>
      <c r="H221" s="140"/>
      <c r="I221" s="148"/>
      <c r="J221" s="151"/>
      <c r="K221" s="6">
        <v>306</v>
      </c>
    </row>
    <row r="222" spans="1:11">
      <c r="A222" s="32" t="str">
        <f t="shared" si="7"/>
        <v>DM13307</v>
      </c>
      <c r="B222" s="93">
        <f t="shared" si="8"/>
        <v>43308</v>
      </c>
      <c r="C222" s="145"/>
      <c r="D222" s="145"/>
      <c r="E222" s="139" t="s">
        <v>28</v>
      </c>
      <c r="F222" s="140"/>
      <c r="G222" s="139" t="s">
        <v>29</v>
      </c>
      <c r="H222" s="140"/>
      <c r="I222" s="148"/>
      <c r="J222" s="151"/>
      <c r="K222" s="6">
        <v>307</v>
      </c>
    </row>
    <row r="223" spans="1:11">
      <c r="A223" s="32" t="str">
        <f t="shared" si="7"/>
        <v>DM13308</v>
      </c>
      <c r="B223" s="93">
        <f t="shared" si="8"/>
        <v>43309</v>
      </c>
      <c r="C223" s="145"/>
      <c r="D223" s="145"/>
      <c r="E223" s="139" t="s">
        <v>30</v>
      </c>
      <c r="F223" s="140"/>
      <c r="G223" s="139" t="s">
        <v>31</v>
      </c>
      <c r="H223" s="140"/>
      <c r="I223" s="148"/>
      <c r="J223" s="151"/>
      <c r="K223" s="6">
        <v>308</v>
      </c>
    </row>
    <row r="224" spans="1:11">
      <c r="A224" s="32" t="str">
        <f t="shared" si="7"/>
        <v>DM13309</v>
      </c>
      <c r="B224" s="93">
        <f t="shared" si="8"/>
        <v>43310</v>
      </c>
      <c r="C224" s="145"/>
      <c r="D224" s="145"/>
      <c r="E224" s="139" t="s">
        <v>11</v>
      </c>
      <c r="F224" s="140"/>
      <c r="G224" s="139" t="s">
        <v>12</v>
      </c>
      <c r="H224" s="140"/>
      <c r="I224" s="148"/>
      <c r="J224" s="151"/>
      <c r="K224" s="6">
        <v>309</v>
      </c>
    </row>
    <row r="225" spans="1:11">
      <c r="A225" s="32" t="str">
        <f t="shared" si="7"/>
        <v>DM13310</v>
      </c>
      <c r="B225" s="93">
        <f t="shared" si="8"/>
        <v>43311</v>
      </c>
      <c r="C225" s="145"/>
      <c r="D225" s="145"/>
      <c r="E225" s="139" t="s">
        <v>13</v>
      </c>
      <c r="F225" s="140"/>
      <c r="G225" s="139" t="s">
        <v>14</v>
      </c>
      <c r="H225" s="140"/>
      <c r="I225" s="148"/>
      <c r="J225" s="151"/>
      <c r="K225" s="6">
        <v>310</v>
      </c>
    </row>
    <row r="226" spans="1:11">
      <c r="A226" s="32" t="str">
        <f t="shared" si="7"/>
        <v>DM13311</v>
      </c>
      <c r="B226" s="93">
        <f t="shared" si="8"/>
        <v>43312</v>
      </c>
      <c r="C226" s="145"/>
      <c r="D226" s="145"/>
      <c r="E226" s="139" t="s">
        <v>16</v>
      </c>
      <c r="F226" s="140"/>
      <c r="G226" s="139" t="s">
        <v>17</v>
      </c>
      <c r="H226" s="140"/>
      <c r="I226" s="148"/>
      <c r="J226" s="151"/>
      <c r="K226" s="6">
        <v>311</v>
      </c>
    </row>
    <row r="227" spans="1:11">
      <c r="A227" s="32" t="str">
        <f t="shared" si="7"/>
        <v>DM13312</v>
      </c>
      <c r="B227" s="93">
        <f t="shared" si="8"/>
        <v>43313</v>
      </c>
      <c r="C227" s="145"/>
      <c r="D227" s="145"/>
      <c r="E227" s="139" t="s">
        <v>18</v>
      </c>
      <c r="F227" s="140"/>
      <c r="G227" s="139" t="s">
        <v>19</v>
      </c>
      <c r="H227" s="140"/>
      <c r="I227" s="148"/>
      <c r="J227" s="151"/>
      <c r="K227" s="6">
        <v>312</v>
      </c>
    </row>
    <row r="228" spans="1:11">
      <c r="A228" s="32" t="str">
        <f t="shared" si="7"/>
        <v>DM13313</v>
      </c>
      <c r="B228" s="93">
        <f t="shared" si="8"/>
        <v>43314</v>
      </c>
      <c r="C228" s="145"/>
      <c r="D228" s="145"/>
      <c r="E228" s="139" t="s">
        <v>20</v>
      </c>
      <c r="F228" s="140"/>
      <c r="G228" s="139" t="s">
        <v>21</v>
      </c>
      <c r="H228" s="140"/>
      <c r="I228" s="148"/>
      <c r="J228" s="151"/>
      <c r="K228" s="6">
        <v>313</v>
      </c>
    </row>
    <row r="229" spans="1:11">
      <c r="A229" s="32" t="str">
        <f t="shared" si="7"/>
        <v>DM13314</v>
      </c>
      <c r="B229" s="93">
        <f t="shared" si="8"/>
        <v>43315</v>
      </c>
      <c r="C229" s="146"/>
      <c r="D229" s="146"/>
      <c r="E229" s="139" t="s">
        <v>22</v>
      </c>
      <c r="F229" s="140"/>
      <c r="G229" s="139" t="s">
        <v>23</v>
      </c>
      <c r="H229" s="140"/>
      <c r="I229" s="149"/>
      <c r="J229" s="152"/>
      <c r="K229" s="6">
        <v>314</v>
      </c>
    </row>
    <row r="230" spans="1:11">
      <c r="A230" s="32" t="str">
        <f t="shared" si="7"/>
        <v>DM13315</v>
      </c>
      <c r="B230" s="93">
        <f t="shared" si="8"/>
        <v>43316</v>
      </c>
      <c r="C230" s="41" t="s">
        <v>0</v>
      </c>
      <c r="D230" s="82"/>
      <c r="E230" s="76"/>
      <c r="F230" s="74"/>
      <c r="G230" s="74"/>
      <c r="H230" s="77"/>
      <c r="I230" s="75"/>
      <c r="J230" s="96"/>
      <c r="K230" s="6">
        <v>315</v>
      </c>
    </row>
    <row r="231" spans="1:11">
      <c r="A231" s="32" t="str">
        <f t="shared" si="7"/>
        <v>DM13316</v>
      </c>
      <c r="B231" s="93">
        <f t="shared" si="8"/>
        <v>43317</v>
      </c>
      <c r="C231" s="41" t="s">
        <v>0</v>
      </c>
      <c r="D231" s="82"/>
      <c r="E231" s="76"/>
      <c r="F231" s="74"/>
      <c r="G231" s="74"/>
      <c r="H231" s="77"/>
      <c r="I231" s="75"/>
      <c r="J231" s="96"/>
      <c r="K231" s="6">
        <v>316</v>
      </c>
    </row>
    <row r="232" spans="1:11">
      <c r="A232" s="32" t="str">
        <f t="shared" si="7"/>
        <v>DM13317</v>
      </c>
      <c r="B232" s="93">
        <f t="shared" si="8"/>
        <v>43318</v>
      </c>
      <c r="C232" s="41" t="s">
        <v>0</v>
      </c>
      <c r="D232" s="82"/>
      <c r="E232" s="76"/>
      <c r="F232" s="74"/>
      <c r="G232" s="74"/>
      <c r="H232" s="77"/>
      <c r="I232" s="75"/>
      <c r="J232" s="96"/>
      <c r="K232" s="6">
        <v>317</v>
      </c>
    </row>
    <row r="233" spans="1:11">
      <c r="A233" s="32" t="str">
        <f t="shared" si="7"/>
        <v>DM13318</v>
      </c>
      <c r="B233" s="93">
        <f t="shared" si="8"/>
        <v>43319</v>
      </c>
      <c r="C233" s="41" t="s">
        <v>0</v>
      </c>
      <c r="D233" s="82"/>
      <c r="E233" s="76"/>
      <c r="F233" s="74"/>
      <c r="G233" s="74"/>
      <c r="H233" s="77"/>
      <c r="I233" s="75"/>
      <c r="J233" s="96"/>
      <c r="K233" s="6">
        <v>318</v>
      </c>
    </row>
    <row r="234" spans="1:11">
      <c r="A234" s="32" t="str">
        <f t="shared" si="7"/>
        <v>DM13319</v>
      </c>
      <c r="B234" s="93">
        <f t="shared" si="8"/>
        <v>43320</v>
      </c>
      <c r="C234" s="41" t="s">
        <v>0</v>
      </c>
      <c r="D234" s="82"/>
      <c r="E234" s="76"/>
      <c r="F234" s="74"/>
      <c r="G234" s="74"/>
      <c r="H234" s="77"/>
      <c r="I234" s="75"/>
      <c r="J234" s="96"/>
      <c r="K234" s="6">
        <v>319</v>
      </c>
    </row>
    <row r="235" spans="1:11">
      <c r="A235" s="32" t="str">
        <f t="shared" si="7"/>
        <v>DM13320</v>
      </c>
      <c r="B235" s="93">
        <f t="shared" si="8"/>
        <v>43321</v>
      </c>
      <c r="C235" s="41" t="s">
        <v>0</v>
      </c>
      <c r="D235" s="82"/>
      <c r="E235" s="76"/>
      <c r="F235" s="74"/>
      <c r="G235" s="74"/>
      <c r="H235" s="77"/>
      <c r="I235" s="75"/>
      <c r="J235" s="96"/>
      <c r="K235" s="6">
        <v>320</v>
      </c>
    </row>
    <row r="236" spans="1:11">
      <c r="A236" s="32" t="str">
        <f t="shared" si="7"/>
        <v>DM13321</v>
      </c>
      <c r="B236" s="93">
        <f t="shared" si="8"/>
        <v>43322</v>
      </c>
      <c r="C236" s="41" t="s">
        <v>0</v>
      </c>
      <c r="D236" s="82"/>
      <c r="E236" s="76"/>
      <c r="F236" s="74"/>
      <c r="G236" s="74"/>
      <c r="H236" s="77"/>
      <c r="I236" s="75"/>
      <c r="J236" s="96"/>
      <c r="K236" s="6">
        <v>321</v>
      </c>
    </row>
    <row r="237" spans="1:11">
      <c r="A237" s="32" t="str">
        <f t="shared" si="7"/>
        <v>DM13322</v>
      </c>
      <c r="B237" s="93">
        <f t="shared" si="8"/>
        <v>43323</v>
      </c>
      <c r="C237" s="41" t="s">
        <v>0</v>
      </c>
      <c r="D237" s="82"/>
      <c r="E237" s="76"/>
      <c r="F237" s="74"/>
      <c r="G237" s="74"/>
      <c r="H237" s="77"/>
      <c r="I237" s="75"/>
      <c r="J237" s="96"/>
      <c r="K237" s="6">
        <v>322</v>
      </c>
    </row>
    <row r="238" spans="1:11">
      <c r="A238" s="32" t="str">
        <f t="shared" si="7"/>
        <v>DM13323</v>
      </c>
      <c r="B238" s="93">
        <f t="shared" si="8"/>
        <v>43324</v>
      </c>
      <c r="C238" s="41" t="s">
        <v>0</v>
      </c>
      <c r="D238" s="82"/>
      <c r="E238" s="76"/>
      <c r="F238" s="74"/>
      <c r="G238" s="74"/>
      <c r="H238" s="77"/>
      <c r="I238" s="75"/>
      <c r="J238" s="96"/>
      <c r="K238" s="6">
        <v>323</v>
      </c>
    </row>
    <row r="239" spans="1:11">
      <c r="A239" s="32" t="str">
        <f t="shared" si="7"/>
        <v>DM13324</v>
      </c>
      <c r="B239" s="93">
        <f t="shared" si="8"/>
        <v>43325</v>
      </c>
      <c r="C239" s="41" t="s">
        <v>0</v>
      </c>
      <c r="D239" s="82"/>
      <c r="E239" s="76"/>
      <c r="F239" s="74"/>
      <c r="G239" s="74"/>
      <c r="H239" s="77"/>
      <c r="I239" s="75"/>
      <c r="J239" s="96"/>
      <c r="K239" s="6">
        <v>324</v>
      </c>
    </row>
    <row r="240" spans="1:11">
      <c r="A240" s="32" t="str">
        <f t="shared" si="7"/>
        <v>DM13325</v>
      </c>
      <c r="B240" s="93">
        <f t="shared" si="8"/>
        <v>43326</v>
      </c>
      <c r="C240" s="41" t="s">
        <v>0</v>
      </c>
      <c r="D240" s="82"/>
      <c r="E240" s="76"/>
      <c r="F240" s="74"/>
      <c r="G240" s="74"/>
      <c r="H240" s="77"/>
      <c r="I240" s="75"/>
      <c r="J240" s="96"/>
      <c r="K240" s="6">
        <v>325</v>
      </c>
    </row>
    <row r="241" spans="1:11">
      <c r="A241" s="32" t="str">
        <f t="shared" si="7"/>
        <v>DM13326</v>
      </c>
      <c r="B241" s="93">
        <f t="shared" si="8"/>
        <v>43327</v>
      </c>
      <c r="C241" s="41" t="s">
        <v>0</v>
      </c>
      <c r="D241" s="82"/>
      <c r="E241" s="76"/>
      <c r="F241" s="74"/>
      <c r="G241" s="74"/>
      <c r="H241" s="77"/>
      <c r="I241" s="75"/>
      <c r="J241" s="96"/>
      <c r="K241" s="6">
        <v>326</v>
      </c>
    </row>
    <row r="242" spans="1:11">
      <c r="A242" s="32" t="str">
        <f t="shared" si="7"/>
        <v>DM13327</v>
      </c>
      <c r="B242" s="93">
        <f t="shared" si="8"/>
        <v>43328</v>
      </c>
      <c r="C242" s="41" t="s">
        <v>0</v>
      </c>
      <c r="D242" s="82"/>
      <c r="E242" s="76"/>
      <c r="F242" s="74"/>
      <c r="G242" s="74"/>
      <c r="H242" s="77"/>
      <c r="I242" s="75"/>
      <c r="J242" s="96"/>
      <c r="K242" s="6">
        <v>327</v>
      </c>
    </row>
    <row r="243" spans="1:11">
      <c r="A243" s="32" t="str">
        <f t="shared" si="7"/>
        <v>DM13328</v>
      </c>
      <c r="B243" s="93">
        <f t="shared" si="8"/>
        <v>43329</v>
      </c>
      <c r="C243" s="41" t="s">
        <v>0</v>
      </c>
      <c r="D243" s="82"/>
      <c r="E243" s="76"/>
      <c r="F243" s="74"/>
      <c r="G243" s="74"/>
      <c r="H243" s="77"/>
      <c r="I243" s="75"/>
      <c r="J243" s="96"/>
      <c r="K243" s="6">
        <v>328</v>
      </c>
    </row>
    <row r="244" spans="1:11">
      <c r="A244" s="32" t="str">
        <f t="shared" si="7"/>
        <v>DM13329</v>
      </c>
      <c r="B244" s="93">
        <f t="shared" si="8"/>
        <v>43330</v>
      </c>
      <c r="C244" s="41" t="s">
        <v>0</v>
      </c>
      <c r="D244" s="82"/>
      <c r="E244" s="76"/>
      <c r="F244" s="74"/>
      <c r="G244" s="74"/>
      <c r="H244" s="77"/>
      <c r="I244" s="75"/>
      <c r="J244" s="96"/>
      <c r="K244" s="6">
        <v>329</v>
      </c>
    </row>
    <row r="245" spans="1:11">
      <c r="A245" s="32" t="str">
        <f t="shared" si="7"/>
        <v>DM13330</v>
      </c>
      <c r="B245" s="93">
        <f t="shared" si="8"/>
        <v>43331</v>
      </c>
      <c r="C245" s="41" t="s">
        <v>0</v>
      </c>
      <c r="D245" s="82"/>
      <c r="E245" s="76"/>
      <c r="F245" s="74"/>
      <c r="G245" s="74"/>
      <c r="H245" s="77"/>
      <c r="I245" s="75"/>
      <c r="J245" s="96"/>
      <c r="K245" s="6">
        <v>330</v>
      </c>
    </row>
    <row r="246" spans="1:11">
      <c r="A246" s="32" t="str">
        <f t="shared" si="7"/>
        <v>DM13331</v>
      </c>
      <c r="B246" s="93">
        <f t="shared" si="8"/>
        <v>43332</v>
      </c>
      <c r="C246" s="41" t="s">
        <v>0</v>
      </c>
      <c r="D246" s="82"/>
      <c r="E246" s="76"/>
      <c r="F246" s="74"/>
      <c r="G246" s="74"/>
      <c r="H246" s="77"/>
      <c r="I246" s="75"/>
      <c r="J246" s="96"/>
      <c r="K246" s="6">
        <v>331</v>
      </c>
    </row>
    <row r="247" spans="1:11">
      <c r="A247" s="32" t="str">
        <f t="shared" si="7"/>
        <v>DM13332</v>
      </c>
      <c r="B247" s="93">
        <f t="shared" si="8"/>
        <v>43333</v>
      </c>
      <c r="C247" s="41" t="s">
        <v>0</v>
      </c>
      <c r="D247" s="82"/>
      <c r="E247" s="76"/>
      <c r="F247" s="74"/>
      <c r="G247" s="74"/>
      <c r="H247" s="77"/>
      <c r="I247" s="75"/>
      <c r="J247" s="96"/>
      <c r="K247" s="6">
        <v>332</v>
      </c>
    </row>
    <row r="248" spans="1:11">
      <c r="A248" s="32" t="str">
        <f t="shared" si="7"/>
        <v>DM13333</v>
      </c>
      <c r="B248" s="93">
        <f t="shared" si="8"/>
        <v>43334</v>
      </c>
      <c r="C248" s="41" t="s">
        <v>0</v>
      </c>
      <c r="D248" s="82"/>
      <c r="E248" s="76"/>
      <c r="F248" s="74"/>
      <c r="G248" s="74"/>
      <c r="H248" s="77"/>
      <c r="I248" s="75"/>
      <c r="J248" s="96"/>
      <c r="K248" s="6">
        <v>333</v>
      </c>
    </row>
    <row r="249" spans="1:11">
      <c r="A249" s="32" t="str">
        <f t="shared" si="7"/>
        <v>DM13334</v>
      </c>
      <c r="B249" s="93">
        <f t="shared" si="8"/>
        <v>43335</v>
      </c>
      <c r="C249" s="41" t="s">
        <v>0</v>
      </c>
      <c r="D249" s="82"/>
      <c r="E249" s="76"/>
      <c r="F249" s="74"/>
      <c r="G249" s="74"/>
      <c r="H249" s="77"/>
      <c r="I249" s="75"/>
      <c r="J249" s="96"/>
      <c r="K249" s="6">
        <v>334</v>
      </c>
    </row>
    <row r="250" spans="1:11">
      <c r="A250" s="32" t="str">
        <f t="shared" si="7"/>
        <v>DM13335</v>
      </c>
      <c r="B250" s="93">
        <f t="shared" si="8"/>
        <v>43336</v>
      </c>
      <c r="C250" s="41" t="s">
        <v>0</v>
      </c>
      <c r="D250" s="82"/>
      <c r="E250" s="76"/>
      <c r="F250" s="74"/>
      <c r="G250" s="74"/>
      <c r="H250" s="77"/>
      <c r="I250" s="75"/>
      <c r="J250" s="96"/>
      <c r="K250" s="6">
        <v>335</v>
      </c>
    </row>
    <row r="251" spans="1:11">
      <c r="A251" s="32" t="str">
        <f t="shared" si="7"/>
        <v>DM13336</v>
      </c>
      <c r="B251" s="93">
        <f t="shared" si="8"/>
        <v>43337</v>
      </c>
      <c r="C251" s="41" t="s">
        <v>0</v>
      </c>
      <c r="D251" s="82"/>
      <c r="E251" s="76"/>
      <c r="F251" s="74"/>
      <c r="G251" s="74"/>
      <c r="H251" s="77"/>
      <c r="I251" s="75"/>
      <c r="J251" s="96"/>
      <c r="K251" s="6">
        <v>336</v>
      </c>
    </row>
    <row r="252" spans="1:11">
      <c r="A252" s="32" t="str">
        <f t="shared" si="7"/>
        <v>DM13337</v>
      </c>
      <c r="B252" s="93">
        <f t="shared" si="8"/>
        <v>43338</v>
      </c>
      <c r="C252" s="41" t="s">
        <v>0</v>
      </c>
      <c r="D252" s="82"/>
      <c r="E252" s="76"/>
      <c r="F252" s="74"/>
      <c r="G252" s="74"/>
      <c r="H252" s="77"/>
      <c r="I252" s="75"/>
      <c r="J252" s="96"/>
      <c r="K252" s="6">
        <v>337</v>
      </c>
    </row>
    <row r="253" spans="1:11">
      <c r="A253" s="32" t="str">
        <f t="shared" si="7"/>
        <v>DM13338</v>
      </c>
      <c r="B253" s="93">
        <f t="shared" si="8"/>
        <v>43339</v>
      </c>
      <c r="C253" s="41" t="s">
        <v>0</v>
      </c>
      <c r="D253" s="82"/>
      <c r="E253" s="76"/>
      <c r="F253" s="74"/>
      <c r="G253" s="74"/>
      <c r="H253" s="77"/>
      <c r="I253" s="75"/>
      <c r="J253" s="96"/>
      <c r="K253" s="6">
        <v>338</v>
      </c>
    </row>
    <row r="254" spans="1:11">
      <c r="A254" s="32" t="str">
        <f t="shared" si="7"/>
        <v>DM13339</v>
      </c>
      <c r="B254" s="93">
        <f t="shared" si="8"/>
        <v>43340</v>
      </c>
      <c r="C254" s="41" t="s">
        <v>0</v>
      </c>
      <c r="D254" s="82"/>
      <c r="E254" s="76"/>
      <c r="F254" s="74"/>
      <c r="G254" s="74"/>
      <c r="H254" s="77"/>
      <c r="I254" s="75"/>
      <c r="J254" s="96"/>
      <c r="K254" s="6">
        <v>339</v>
      </c>
    </row>
    <row r="255" spans="1:11">
      <c r="A255" s="32" t="str">
        <f t="shared" si="7"/>
        <v>DM13340</v>
      </c>
      <c r="B255" s="93">
        <f t="shared" si="8"/>
        <v>43341</v>
      </c>
      <c r="C255" s="41" t="s">
        <v>0</v>
      </c>
      <c r="D255" s="82"/>
      <c r="E255" s="76"/>
      <c r="F255" s="74"/>
      <c r="G255" s="74"/>
      <c r="H255" s="77"/>
      <c r="I255" s="75"/>
      <c r="J255" s="96"/>
      <c r="K255" s="6">
        <v>340</v>
      </c>
    </row>
    <row r="256" spans="1:11">
      <c r="A256" s="32" t="str">
        <f t="shared" si="7"/>
        <v>DM13341</v>
      </c>
      <c r="B256" s="93">
        <f t="shared" si="8"/>
        <v>43342</v>
      </c>
      <c r="C256" s="41" t="s">
        <v>0</v>
      </c>
      <c r="D256" s="82"/>
      <c r="E256" s="76"/>
      <c r="F256" s="74"/>
      <c r="G256" s="74"/>
      <c r="H256" s="77"/>
      <c r="I256" s="75"/>
      <c r="J256" s="96"/>
      <c r="K256" s="6">
        <v>341</v>
      </c>
    </row>
    <row r="257" spans="1:11">
      <c r="A257" s="32" t="str">
        <f t="shared" ref="A257:A264" si="9">LEFT($D$3, 2) &amp; (MID($D$3, 3, LEN($D$3)) + K257)</f>
        <v>DM13342</v>
      </c>
      <c r="B257" s="93">
        <f t="shared" ref="B257:B264" si="10">$D$4+K257</f>
        <v>43343</v>
      </c>
      <c r="C257" s="41" t="s">
        <v>0</v>
      </c>
      <c r="D257" s="82"/>
      <c r="E257" s="76"/>
      <c r="F257" s="74"/>
      <c r="G257" s="74"/>
      <c r="H257" s="77"/>
      <c r="I257" s="75"/>
      <c r="J257" s="96"/>
      <c r="K257" s="6">
        <v>342</v>
      </c>
    </row>
    <row r="258" spans="1:11">
      <c r="A258" s="32" t="str">
        <f t="shared" si="9"/>
        <v>DM13343</v>
      </c>
      <c r="B258" s="93">
        <f t="shared" si="10"/>
        <v>43344</v>
      </c>
      <c r="C258" s="94" t="s">
        <v>114</v>
      </c>
      <c r="D258" s="102" t="s">
        <v>116</v>
      </c>
      <c r="E258" s="60">
        <v>0</v>
      </c>
      <c r="F258" s="61">
        <v>0</v>
      </c>
      <c r="G258" s="61">
        <v>0</v>
      </c>
      <c r="H258" s="114" t="s">
        <v>262</v>
      </c>
      <c r="I258" s="103" t="s">
        <v>159</v>
      </c>
      <c r="J258" s="104" t="s">
        <v>156</v>
      </c>
      <c r="K258" s="6">
        <v>343</v>
      </c>
    </row>
    <row r="259" spans="1:11" ht="15" customHeight="1">
      <c r="A259" s="32" t="str">
        <f t="shared" si="9"/>
        <v>DM13344</v>
      </c>
      <c r="B259" s="93">
        <f t="shared" si="10"/>
        <v>43345</v>
      </c>
      <c r="C259" s="94" t="s">
        <v>194</v>
      </c>
      <c r="D259" s="102" t="s">
        <v>116</v>
      </c>
      <c r="E259" s="61">
        <v>0</v>
      </c>
      <c r="F259" s="61">
        <v>0</v>
      </c>
      <c r="G259" s="99" t="s">
        <v>198</v>
      </c>
      <c r="H259" s="99" t="s">
        <v>198</v>
      </c>
      <c r="I259" s="100" t="s">
        <v>199</v>
      </c>
      <c r="J259" s="101" t="s">
        <v>200</v>
      </c>
      <c r="K259" s="6">
        <v>344</v>
      </c>
    </row>
    <row r="260" spans="1:11" ht="15" customHeight="1">
      <c r="A260" s="32" t="str">
        <f t="shared" si="9"/>
        <v>DM13345</v>
      </c>
      <c r="B260" s="93">
        <f t="shared" si="10"/>
        <v>43346</v>
      </c>
      <c r="C260" s="41" t="s">
        <v>0</v>
      </c>
      <c r="D260" s="82"/>
      <c r="E260" s="76"/>
      <c r="F260" s="74"/>
      <c r="G260" s="74"/>
      <c r="H260" s="77"/>
      <c r="I260" s="75"/>
      <c r="J260" s="96"/>
      <c r="K260" s="6">
        <v>345</v>
      </c>
    </row>
    <row r="261" spans="1:11" ht="15" customHeight="1">
      <c r="A261" s="32" t="str">
        <f t="shared" si="9"/>
        <v>DM13346</v>
      </c>
      <c r="B261" s="93">
        <f t="shared" si="10"/>
        <v>43347</v>
      </c>
      <c r="C261" s="41" t="s">
        <v>0</v>
      </c>
      <c r="D261" s="82"/>
      <c r="E261" s="76"/>
      <c r="F261" s="74"/>
      <c r="G261" s="74"/>
      <c r="H261" s="77"/>
      <c r="I261" s="75"/>
      <c r="J261" s="96"/>
      <c r="K261" s="6">
        <v>346</v>
      </c>
    </row>
    <row r="262" spans="1:11" ht="15" customHeight="1">
      <c r="A262" s="32" t="str">
        <f t="shared" si="9"/>
        <v>DM13347</v>
      </c>
      <c r="B262" s="93">
        <f t="shared" si="10"/>
        <v>43348</v>
      </c>
      <c r="C262" s="41" t="s">
        <v>0</v>
      </c>
      <c r="D262" s="82"/>
      <c r="E262" s="76"/>
      <c r="F262" s="74"/>
      <c r="G262" s="74"/>
      <c r="H262" s="77"/>
      <c r="I262" s="75"/>
      <c r="J262" s="96"/>
      <c r="K262" s="6">
        <v>347</v>
      </c>
    </row>
    <row r="263" spans="1:11" ht="15" customHeight="1">
      <c r="A263" s="32" t="str">
        <f t="shared" si="9"/>
        <v>DM13348</v>
      </c>
      <c r="B263" s="93">
        <f t="shared" si="10"/>
        <v>43349</v>
      </c>
      <c r="C263" s="41" t="s">
        <v>0</v>
      </c>
      <c r="D263" s="82"/>
      <c r="E263" s="76"/>
      <c r="F263" s="74"/>
      <c r="G263" s="74"/>
      <c r="H263" s="77"/>
      <c r="I263" s="75"/>
      <c r="J263" s="96"/>
      <c r="K263" s="6">
        <v>348</v>
      </c>
    </row>
    <row r="264" spans="1:11" ht="15" customHeight="1" thickBot="1">
      <c r="A264" s="32" t="str">
        <f t="shared" si="9"/>
        <v>DM13349</v>
      </c>
      <c r="B264" s="93">
        <f t="shared" si="10"/>
        <v>43350</v>
      </c>
      <c r="C264" s="41" t="s">
        <v>0</v>
      </c>
      <c r="D264" s="82"/>
      <c r="E264" s="76"/>
      <c r="F264" s="74"/>
      <c r="G264" s="74"/>
      <c r="H264" s="77"/>
      <c r="I264" s="75"/>
      <c r="J264" s="96"/>
      <c r="K264" s="6">
        <v>349</v>
      </c>
    </row>
    <row r="265" spans="1:11" ht="15.6" customHeight="1">
      <c r="A265" s="141" t="s">
        <v>153</v>
      </c>
      <c r="B265" s="142"/>
      <c r="C265" s="142"/>
      <c r="D265" s="142"/>
      <c r="E265" s="142"/>
      <c r="F265" s="142"/>
      <c r="G265" s="142"/>
      <c r="H265" s="142"/>
      <c r="I265" s="142"/>
      <c r="J265" s="143"/>
    </row>
    <row r="266" spans="1:11" ht="15.6" customHeight="1">
      <c r="A266" s="32" t="str">
        <f t="shared" ref="A266:A295" si="11">LEFT($D$3, 2) &amp; (MID($D$3, 3, LEN($D$3)) + K266)</f>
        <v>DM13350</v>
      </c>
      <c r="B266" s="93">
        <f t="shared" ref="B266:B295" si="12">$D$4+K266</f>
        <v>43351</v>
      </c>
      <c r="C266" s="144" t="s">
        <v>59</v>
      </c>
      <c r="D266" s="144" t="s">
        <v>58</v>
      </c>
      <c r="E266" s="139" t="s">
        <v>25</v>
      </c>
      <c r="F266" s="140"/>
      <c r="G266" s="139" t="s">
        <v>65</v>
      </c>
      <c r="H266" s="140"/>
      <c r="I266" s="147" t="s">
        <v>60</v>
      </c>
      <c r="J266" s="150" t="s">
        <v>82</v>
      </c>
      <c r="K266" s="6">
        <v>350</v>
      </c>
    </row>
    <row r="267" spans="1:11" ht="15.6" customHeight="1">
      <c r="A267" s="32" t="str">
        <f t="shared" si="11"/>
        <v>DM13351</v>
      </c>
      <c r="B267" s="93">
        <f t="shared" si="12"/>
        <v>43352</v>
      </c>
      <c r="C267" s="145"/>
      <c r="D267" s="145"/>
      <c r="E267" s="139" t="s">
        <v>26</v>
      </c>
      <c r="F267" s="140"/>
      <c r="G267" s="139" t="s">
        <v>27</v>
      </c>
      <c r="H267" s="140"/>
      <c r="I267" s="148"/>
      <c r="J267" s="151"/>
      <c r="K267" s="6">
        <v>351</v>
      </c>
    </row>
    <row r="268" spans="1:11" ht="15.75" customHeight="1">
      <c r="A268" s="32" t="str">
        <f t="shared" si="11"/>
        <v>DM13352</v>
      </c>
      <c r="B268" s="93">
        <f t="shared" si="12"/>
        <v>43353</v>
      </c>
      <c r="C268" s="146"/>
      <c r="D268" s="145"/>
      <c r="E268" s="139" t="s">
        <v>28</v>
      </c>
      <c r="F268" s="140"/>
      <c r="G268" s="139" t="s">
        <v>29</v>
      </c>
      <c r="H268" s="140"/>
      <c r="I268" s="148"/>
      <c r="J268" s="151"/>
      <c r="K268" s="6">
        <v>352</v>
      </c>
    </row>
    <row r="269" spans="1:11" ht="15.75" customHeight="1">
      <c r="A269" s="32" t="str">
        <f t="shared" si="11"/>
        <v>DM13353</v>
      </c>
      <c r="B269" s="93">
        <f t="shared" si="12"/>
        <v>43354</v>
      </c>
      <c r="C269" s="144" t="s">
        <v>61</v>
      </c>
      <c r="D269" s="144" t="s">
        <v>81</v>
      </c>
      <c r="E269" s="165" t="s">
        <v>67</v>
      </c>
      <c r="F269" s="166"/>
      <c r="G269" s="167" t="s">
        <v>66</v>
      </c>
      <c r="H269" s="168"/>
      <c r="I269" s="147" t="s">
        <v>62</v>
      </c>
      <c r="J269" s="150" t="s">
        <v>63</v>
      </c>
      <c r="K269" s="6">
        <v>353</v>
      </c>
    </row>
    <row r="270" spans="1:11" ht="16.5" customHeight="1">
      <c r="A270" s="32" t="str">
        <f t="shared" si="11"/>
        <v>DM13354</v>
      </c>
      <c r="B270" s="93">
        <f t="shared" si="12"/>
        <v>43355</v>
      </c>
      <c r="C270" s="145"/>
      <c r="D270" s="145"/>
      <c r="E270" s="165" t="s">
        <v>69</v>
      </c>
      <c r="F270" s="166"/>
      <c r="G270" s="167" t="s">
        <v>68</v>
      </c>
      <c r="H270" s="168"/>
      <c r="I270" s="148"/>
      <c r="J270" s="151"/>
      <c r="K270" s="6">
        <v>354</v>
      </c>
    </row>
    <row r="271" spans="1:11" ht="16.5" customHeight="1">
      <c r="A271" s="32" t="str">
        <f t="shared" si="11"/>
        <v>DM13355</v>
      </c>
      <c r="B271" s="93">
        <f t="shared" si="12"/>
        <v>43356</v>
      </c>
      <c r="C271" s="145"/>
      <c r="D271" s="145"/>
      <c r="E271" s="165" t="s">
        <v>71</v>
      </c>
      <c r="F271" s="166"/>
      <c r="G271" s="167" t="s">
        <v>70</v>
      </c>
      <c r="H271" s="168"/>
      <c r="I271" s="148"/>
      <c r="J271" s="151"/>
      <c r="K271" s="6">
        <v>355</v>
      </c>
    </row>
    <row r="272" spans="1:11" ht="16.5" customHeight="1">
      <c r="A272" s="32" t="str">
        <f t="shared" si="11"/>
        <v>DM13356</v>
      </c>
      <c r="B272" s="93">
        <f t="shared" si="12"/>
        <v>43357</v>
      </c>
      <c r="C272" s="145"/>
      <c r="D272" s="145"/>
      <c r="E272" s="165" t="s">
        <v>73</v>
      </c>
      <c r="F272" s="166"/>
      <c r="G272" s="167" t="s">
        <v>72</v>
      </c>
      <c r="H272" s="168"/>
      <c r="I272" s="148"/>
      <c r="J272" s="151"/>
      <c r="K272" s="6">
        <v>356</v>
      </c>
    </row>
    <row r="273" spans="1:11" ht="16.149999999999999" customHeight="1">
      <c r="A273" s="32" t="str">
        <f t="shared" si="11"/>
        <v>DM13357</v>
      </c>
      <c r="B273" s="93">
        <f t="shared" si="12"/>
        <v>43358</v>
      </c>
      <c r="C273" s="145"/>
      <c r="D273" s="145"/>
      <c r="E273" s="165" t="s">
        <v>77</v>
      </c>
      <c r="F273" s="166"/>
      <c r="G273" s="167" t="s">
        <v>74</v>
      </c>
      <c r="H273" s="168"/>
      <c r="I273" s="148"/>
      <c r="J273" s="151"/>
      <c r="K273" s="6">
        <v>357</v>
      </c>
    </row>
    <row r="274" spans="1:11" ht="15.6" customHeight="1">
      <c r="A274" s="32" t="str">
        <f t="shared" si="11"/>
        <v>DM13358</v>
      </c>
      <c r="B274" s="93">
        <f t="shared" si="12"/>
        <v>43359</v>
      </c>
      <c r="C274" s="145"/>
      <c r="D274" s="145"/>
      <c r="E274" s="165" t="s">
        <v>78</v>
      </c>
      <c r="F274" s="166"/>
      <c r="G274" s="167" t="s">
        <v>75</v>
      </c>
      <c r="H274" s="168"/>
      <c r="I274" s="148"/>
      <c r="J274" s="151"/>
      <c r="K274" s="6">
        <v>358</v>
      </c>
    </row>
    <row r="275" spans="1:11" ht="15.6" customHeight="1">
      <c r="A275" s="32" t="str">
        <f t="shared" si="11"/>
        <v>DM13359</v>
      </c>
      <c r="B275" s="93">
        <f t="shared" si="12"/>
        <v>43360</v>
      </c>
      <c r="C275" s="146"/>
      <c r="D275" s="146"/>
      <c r="E275" s="165" t="s">
        <v>79</v>
      </c>
      <c r="F275" s="166"/>
      <c r="G275" s="167" t="s">
        <v>76</v>
      </c>
      <c r="H275" s="168"/>
      <c r="I275" s="149"/>
      <c r="J275" s="152"/>
      <c r="K275" s="6">
        <v>359</v>
      </c>
    </row>
    <row r="276" spans="1:11" ht="15" customHeight="1">
      <c r="A276" s="32" t="str">
        <f t="shared" si="11"/>
        <v>DM13360</v>
      </c>
      <c r="B276" s="93">
        <f t="shared" si="12"/>
        <v>43361</v>
      </c>
      <c r="C276" s="94" t="s">
        <v>154</v>
      </c>
      <c r="D276" s="73" t="s">
        <v>81</v>
      </c>
      <c r="E276" s="60">
        <v>0</v>
      </c>
      <c r="F276" s="61">
        <v>0</v>
      </c>
      <c r="G276" s="61">
        <v>0</v>
      </c>
      <c r="H276" s="99" t="s">
        <v>115</v>
      </c>
      <c r="I276" s="100" t="s">
        <v>157</v>
      </c>
      <c r="J276" s="101" t="s">
        <v>156</v>
      </c>
      <c r="K276" s="6">
        <v>360</v>
      </c>
    </row>
    <row r="277" spans="1:11" ht="15.75" customHeight="1">
      <c r="A277" s="32" t="str">
        <f t="shared" si="11"/>
        <v>DM13361</v>
      </c>
      <c r="B277" s="93">
        <f t="shared" si="12"/>
        <v>43362</v>
      </c>
      <c r="C277" s="94" t="s">
        <v>155</v>
      </c>
      <c r="D277" s="73" t="s">
        <v>81</v>
      </c>
      <c r="E277" s="60">
        <v>0</v>
      </c>
      <c r="F277" s="61">
        <v>0</v>
      </c>
      <c r="G277" s="61">
        <v>0</v>
      </c>
      <c r="H277" s="99" t="s">
        <v>115</v>
      </c>
      <c r="I277" s="100" t="s">
        <v>158</v>
      </c>
      <c r="J277" s="101" t="s">
        <v>156</v>
      </c>
      <c r="K277" s="6">
        <v>361</v>
      </c>
    </row>
    <row r="278" spans="1:11" ht="15.75" customHeight="1">
      <c r="A278" s="32" t="str">
        <f t="shared" si="11"/>
        <v>DM13362</v>
      </c>
      <c r="B278" s="93">
        <f t="shared" si="12"/>
        <v>43363</v>
      </c>
      <c r="C278" s="169" t="s">
        <v>160</v>
      </c>
      <c r="D278" s="169" t="s">
        <v>58</v>
      </c>
      <c r="E278" s="170" t="s">
        <v>25</v>
      </c>
      <c r="F278" s="170"/>
      <c r="G278" s="170" t="s">
        <v>65</v>
      </c>
      <c r="H278" s="170"/>
      <c r="I278" s="171" t="s">
        <v>161</v>
      </c>
      <c r="J278" s="172" t="s">
        <v>162</v>
      </c>
      <c r="K278" s="6">
        <v>362</v>
      </c>
    </row>
    <row r="279" spans="1:11" ht="16.5" customHeight="1">
      <c r="A279" s="32" t="str">
        <f t="shared" si="11"/>
        <v>DM13363</v>
      </c>
      <c r="B279" s="93">
        <f t="shared" si="12"/>
        <v>43364</v>
      </c>
      <c r="C279" s="169"/>
      <c r="D279" s="169"/>
      <c r="E279" s="170" t="s">
        <v>26</v>
      </c>
      <c r="F279" s="170"/>
      <c r="G279" s="170" t="s">
        <v>27</v>
      </c>
      <c r="H279" s="170"/>
      <c r="I279" s="171"/>
      <c r="J279" s="172"/>
      <c r="K279" s="6">
        <v>363</v>
      </c>
    </row>
    <row r="280" spans="1:11" ht="16.5" customHeight="1">
      <c r="A280" s="32" t="str">
        <f t="shared" si="11"/>
        <v>DM13364</v>
      </c>
      <c r="B280" s="93">
        <f t="shared" si="12"/>
        <v>43365</v>
      </c>
      <c r="C280" s="41" t="s">
        <v>0</v>
      </c>
      <c r="D280" s="82"/>
      <c r="E280" s="76"/>
      <c r="F280" s="74"/>
      <c r="G280" s="74"/>
      <c r="H280" s="77"/>
      <c r="I280" s="75"/>
      <c r="J280" s="96"/>
      <c r="K280" s="6">
        <v>364</v>
      </c>
    </row>
    <row r="281" spans="1:11" ht="16.5" customHeight="1">
      <c r="A281" s="32" t="str">
        <f t="shared" si="11"/>
        <v>DM13365</v>
      </c>
      <c r="B281" s="93">
        <f t="shared" si="12"/>
        <v>43366</v>
      </c>
      <c r="C281" s="41" t="s">
        <v>0</v>
      </c>
      <c r="D281" s="82"/>
      <c r="E281" s="76"/>
      <c r="F281" s="74"/>
      <c r="G281" s="74"/>
      <c r="H281" s="77"/>
      <c r="I281" s="75"/>
      <c r="J281" s="96"/>
      <c r="K281" s="6">
        <v>365</v>
      </c>
    </row>
    <row r="282" spans="1:11" ht="16.5" customHeight="1">
      <c r="A282" s="32" t="str">
        <f t="shared" si="11"/>
        <v>DM13366</v>
      </c>
      <c r="B282" s="93">
        <f t="shared" si="12"/>
        <v>43367</v>
      </c>
      <c r="C282" s="41" t="s">
        <v>0</v>
      </c>
      <c r="D282" s="82"/>
      <c r="E282" s="76"/>
      <c r="F282" s="74"/>
      <c r="G282" s="74"/>
      <c r="H282" s="77"/>
      <c r="I282" s="75"/>
      <c r="J282" s="96"/>
      <c r="K282" s="6">
        <v>366</v>
      </c>
    </row>
    <row r="283" spans="1:11" ht="16.5" customHeight="1">
      <c r="A283" s="32" t="str">
        <f t="shared" si="11"/>
        <v>DM13367</v>
      </c>
      <c r="B283" s="93">
        <f t="shared" si="12"/>
        <v>43368</v>
      </c>
      <c r="C283" s="41" t="s">
        <v>0</v>
      </c>
      <c r="D283" s="82"/>
      <c r="E283" s="76"/>
      <c r="F283" s="74"/>
      <c r="G283" s="74"/>
      <c r="H283" s="77"/>
      <c r="I283" s="75"/>
      <c r="J283" s="96"/>
      <c r="K283" s="6">
        <v>367</v>
      </c>
    </row>
    <row r="284" spans="1:11" ht="16.5" customHeight="1">
      <c r="A284" s="32" t="str">
        <f t="shared" si="11"/>
        <v>DM13368</v>
      </c>
      <c r="B284" s="93">
        <f t="shared" si="12"/>
        <v>43369</v>
      </c>
      <c r="C284" s="41" t="s">
        <v>0</v>
      </c>
      <c r="D284" s="82"/>
      <c r="E284" s="76"/>
      <c r="F284" s="74"/>
      <c r="G284" s="74"/>
      <c r="H284" s="77"/>
      <c r="I284" s="75"/>
      <c r="J284" s="96"/>
      <c r="K284" s="6">
        <v>368</v>
      </c>
    </row>
    <row r="285" spans="1:11">
      <c r="A285" s="32" t="str">
        <f t="shared" si="11"/>
        <v>DM13369</v>
      </c>
      <c r="B285" s="93">
        <f t="shared" si="12"/>
        <v>43370</v>
      </c>
      <c r="C285" s="41" t="s">
        <v>0</v>
      </c>
      <c r="D285" s="82"/>
      <c r="E285" s="76"/>
      <c r="F285" s="74"/>
      <c r="G285" s="74"/>
      <c r="H285" s="77"/>
      <c r="I285" s="75"/>
      <c r="J285" s="96"/>
      <c r="K285" s="6">
        <v>369</v>
      </c>
    </row>
    <row r="286" spans="1:11">
      <c r="A286" s="32" t="str">
        <f t="shared" si="11"/>
        <v>DM13370</v>
      </c>
      <c r="B286" s="93">
        <f t="shared" si="12"/>
        <v>43371</v>
      </c>
      <c r="C286" s="41" t="s">
        <v>0</v>
      </c>
      <c r="D286" s="82"/>
      <c r="E286" s="76"/>
      <c r="F286" s="74"/>
      <c r="G286" s="74"/>
      <c r="H286" s="77"/>
      <c r="I286" s="75"/>
      <c r="J286" s="96"/>
      <c r="K286" s="6">
        <v>370</v>
      </c>
    </row>
    <row r="287" spans="1:11">
      <c r="A287" s="32" t="str">
        <f t="shared" si="11"/>
        <v>DM13371</v>
      </c>
      <c r="B287" s="93">
        <f t="shared" si="12"/>
        <v>43372</v>
      </c>
      <c r="C287" s="94" t="s">
        <v>114</v>
      </c>
      <c r="D287" s="102" t="s">
        <v>116</v>
      </c>
      <c r="E287" s="83">
        <v>0</v>
      </c>
      <c r="F287" s="83">
        <v>0</v>
      </c>
      <c r="G287" s="83">
        <v>0</v>
      </c>
      <c r="H287" s="114" t="s">
        <v>262</v>
      </c>
      <c r="I287" s="103" t="s">
        <v>159</v>
      </c>
      <c r="J287" s="104" t="s">
        <v>156</v>
      </c>
      <c r="K287" s="6">
        <v>371</v>
      </c>
    </row>
    <row r="288" spans="1:11" ht="15" customHeight="1">
      <c r="A288" s="32" t="str">
        <f t="shared" si="11"/>
        <v>DM13372</v>
      </c>
      <c r="B288" s="93">
        <f t="shared" si="12"/>
        <v>43373</v>
      </c>
      <c r="C288" s="94" t="s">
        <v>194</v>
      </c>
      <c r="D288" s="102" t="s">
        <v>116</v>
      </c>
      <c r="E288" s="61">
        <v>0</v>
      </c>
      <c r="F288" s="61">
        <v>0</v>
      </c>
      <c r="G288" s="99" t="s">
        <v>198</v>
      </c>
      <c r="H288" s="99" t="s">
        <v>198</v>
      </c>
      <c r="I288" s="100" t="s">
        <v>199</v>
      </c>
      <c r="J288" s="101" t="s">
        <v>200</v>
      </c>
      <c r="K288" s="6">
        <v>372</v>
      </c>
    </row>
    <row r="289" spans="1:11" ht="15" customHeight="1">
      <c r="A289" s="32" t="str">
        <f t="shared" si="11"/>
        <v>DM13373</v>
      </c>
      <c r="B289" s="93">
        <f t="shared" si="12"/>
        <v>43374</v>
      </c>
      <c r="C289" s="105"/>
      <c r="D289" s="105"/>
      <c r="E289" s="108" t="s">
        <v>26</v>
      </c>
      <c r="F289" s="109"/>
      <c r="G289" s="108" t="s">
        <v>27</v>
      </c>
      <c r="H289" s="109"/>
      <c r="I289" s="107"/>
      <c r="J289" s="106"/>
      <c r="K289" s="6">
        <v>373</v>
      </c>
    </row>
    <row r="290" spans="1:11" ht="15" customHeight="1">
      <c r="A290" s="32" t="str">
        <f t="shared" si="11"/>
        <v>DM13374</v>
      </c>
      <c r="B290" s="93">
        <f t="shared" si="12"/>
        <v>43375</v>
      </c>
      <c r="C290" s="105"/>
      <c r="D290" s="105"/>
      <c r="E290" s="108" t="s">
        <v>28</v>
      </c>
      <c r="F290" s="109"/>
      <c r="G290" s="108" t="s">
        <v>29</v>
      </c>
      <c r="H290" s="109"/>
      <c r="I290" s="107"/>
      <c r="J290" s="106"/>
      <c r="K290" s="6">
        <v>374</v>
      </c>
    </row>
    <row r="291" spans="1:11" ht="15" customHeight="1">
      <c r="A291" s="32" t="str">
        <f t="shared" si="11"/>
        <v>DM13375</v>
      </c>
      <c r="B291" s="93">
        <f t="shared" si="12"/>
        <v>43376</v>
      </c>
      <c r="C291" s="105"/>
      <c r="D291" s="105"/>
      <c r="E291" s="108" t="s">
        <v>30</v>
      </c>
      <c r="F291" s="109"/>
      <c r="G291" s="108" t="s">
        <v>31</v>
      </c>
      <c r="H291" s="109"/>
      <c r="I291" s="107"/>
      <c r="J291" s="106"/>
      <c r="K291" s="6">
        <v>375</v>
      </c>
    </row>
    <row r="292" spans="1:11">
      <c r="A292" s="32" t="str">
        <f t="shared" si="11"/>
        <v>DM13376</v>
      </c>
      <c r="B292" s="93">
        <f t="shared" si="12"/>
        <v>43377</v>
      </c>
      <c r="C292" s="41" t="s">
        <v>0</v>
      </c>
      <c r="D292" s="82"/>
      <c r="E292" s="76"/>
      <c r="F292" s="74"/>
      <c r="G292" s="74"/>
      <c r="H292" s="77"/>
      <c r="I292" s="75"/>
      <c r="J292" s="96"/>
      <c r="K292" s="6">
        <v>376</v>
      </c>
    </row>
    <row r="293" spans="1:11">
      <c r="A293" s="32" t="str">
        <f t="shared" si="11"/>
        <v>DM13377</v>
      </c>
      <c r="B293" s="93">
        <f t="shared" si="12"/>
        <v>43378</v>
      </c>
      <c r="C293" s="41" t="s">
        <v>0</v>
      </c>
      <c r="D293" s="82"/>
      <c r="E293" s="76"/>
      <c r="F293" s="74"/>
      <c r="G293" s="74"/>
      <c r="H293" s="77"/>
      <c r="I293" s="75"/>
      <c r="J293" s="96"/>
      <c r="K293" s="6">
        <v>377</v>
      </c>
    </row>
    <row r="294" spans="1:11">
      <c r="A294" s="32" t="str">
        <f t="shared" si="11"/>
        <v>DM13378</v>
      </c>
      <c r="B294" s="93">
        <f t="shared" si="12"/>
        <v>43379</v>
      </c>
      <c r="C294" s="41" t="s">
        <v>0</v>
      </c>
      <c r="D294" s="82"/>
      <c r="E294" s="76"/>
      <c r="F294" s="74"/>
      <c r="G294" s="74"/>
      <c r="H294" s="77"/>
      <c r="I294" s="75"/>
      <c r="J294" s="96"/>
      <c r="K294" s="6">
        <v>378</v>
      </c>
    </row>
    <row r="295" spans="1:11" ht="15.75" thickBot="1">
      <c r="A295" s="32" t="str">
        <f t="shared" si="11"/>
        <v>DM13379</v>
      </c>
      <c r="B295" s="93">
        <f t="shared" si="12"/>
        <v>43380</v>
      </c>
      <c r="C295" s="41" t="s">
        <v>0</v>
      </c>
      <c r="D295" s="82"/>
      <c r="E295" s="76"/>
      <c r="F295" s="74"/>
      <c r="G295" s="74"/>
      <c r="H295" s="77"/>
      <c r="I295" s="75"/>
      <c r="J295" s="96"/>
      <c r="K295" s="6">
        <v>379</v>
      </c>
    </row>
    <row r="296" spans="1:11" ht="15.6" customHeight="1">
      <c r="A296" s="141" t="s">
        <v>163</v>
      </c>
      <c r="B296" s="142"/>
      <c r="C296" s="142"/>
      <c r="D296" s="142"/>
      <c r="E296" s="142"/>
      <c r="F296" s="142"/>
      <c r="G296" s="142"/>
      <c r="H296" s="142"/>
      <c r="I296" s="142"/>
      <c r="J296" s="143"/>
    </row>
    <row r="297" spans="1:11" ht="15" customHeight="1">
      <c r="A297" s="32" t="str">
        <f t="shared" ref="A297:A316" si="13">LEFT($D$3, 2) &amp; (MID($D$3, 3, LEN($D$3)) + K297)</f>
        <v>DM13380</v>
      </c>
      <c r="B297" s="93">
        <f t="shared" ref="B297:B316" si="14">$D$4+K297</f>
        <v>43381</v>
      </c>
      <c r="C297" s="144" t="s">
        <v>59</v>
      </c>
      <c r="D297" s="144" t="s">
        <v>58</v>
      </c>
      <c r="E297" s="139" t="s">
        <v>25</v>
      </c>
      <c r="F297" s="140"/>
      <c r="G297" s="139" t="s">
        <v>65</v>
      </c>
      <c r="H297" s="140"/>
      <c r="I297" s="147" t="s">
        <v>60</v>
      </c>
      <c r="J297" s="150" t="s">
        <v>82</v>
      </c>
      <c r="K297" s="6">
        <v>380</v>
      </c>
    </row>
    <row r="298" spans="1:11" ht="15" customHeight="1">
      <c r="A298" s="32" t="str">
        <f t="shared" si="13"/>
        <v>DM13381</v>
      </c>
      <c r="B298" s="93">
        <f t="shared" si="14"/>
        <v>43382</v>
      </c>
      <c r="C298" s="145"/>
      <c r="D298" s="145"/>
      <c r="E298" s="139" t="s">
        <v>26</v>
      </c>
      <c r="F298" s="140"/>
      <c r="G298" s="139" t="s">
        <v>27</v>
      </c>
      <c r="H298" s="140"/>
      <c r="I298" s="148"/>
      <c r="J298" s="151"/>
      <c r="K298" s="6">
        <v>381</v>
      </c>
    </row>
    <row r="299" spans="1:11" ht="15" customHeight="1">
      <c r="A299" s="32" t="str">
        <f t="shared" si="13"/>
        <v>DM13382</v>
      </c>
      <c r="B299" s="93">
        <f t="shared" si="14"/>
        <v>43383</v>
      </c>
      <c r="C299" s="146"/>
      <c r="D299" s="145"/>
      <c r="E299" s="139" t="s">
        <v>28</v>
      </c>
      <c r="F299" s="140"/>
      <c r="G299" s="139" t="s">
        <v>29</v>
      </c>
      <c r="H299" s="140"/>
      <c r="I299" s="148"/>
      <c r="J299" s="151"/>
      <c r="K299" s="6">
        <v>382</v>
      </c>
    </row>
    <row r="300" spans="1:11">
      <c r="A300" s="32" t="str">
        <f t="shared" si="13"/>
        <v>DM13383</v>
      </c>
      <c r="B300" s="93">
        <f t="shared" si="14"/>
        <v>43384</v>
      </c>
      <c r="C300" s="144" t="s">
        <v>61</v>
      </c>
      <c r="D300" s="144" t="s">
        <v>81</v>
      </c>
      <c r="E300" s="165" t="s">
        <v>67</v>
      </c>
      <c r="F300" s="166"/>
      <c r="G300" s="167" t="s">
        <v>66</v>
      </c>
      <c r="H300" s="168"/>
      <c r="I300" s="147" t="s">
        <v>62</v>
      </c>
      <c r="J300" s="150" t="s">
        <v>63</v>
      </c>
      <c r="K300" s="6">
        <v>383</v>
      </c>
    </row>
    <row r="301" spans="1:11">
      <c r="A301" s="32" t="str">
        <f t="shared" si="13"/>
        <v>DM13384</v>
      </c>
      <c r="B301" s="93">
        <f t="shared" si="14"/>
        <v>43385</v>
      </c>
      <c r="C301" s="145"/>
      <c r="D301" s="145"/>
      <c r="E301" s="165" t="s">
        <v>69</v>
      </c>
      <c r="F301" s="166"/>
      <c r="G301" s="167" t="s">
        <v>68</v>
      </c>
      <c r="H301" s="168"/>
      <c r="I301" s="148"/>
      <c r="J301" s="151"/>
      <c r="K301" s="6">
        <v>384</v>
      </c>
    </row>
    <row r="302" spans="1:11">
      <c r="A302" s="32" t="str">
        <f t="shared" si="13"/>
        <v>DM13385</v>
      </c>
      <c r="B302" s="93">
        <f t="shared" si="14"/>
        <v>43386</v>
      </c>
      <c r="C302" s="145"/>
      <c r="D302" s="145"/>
      <c r="E302" s="165" t="s">
        <v>71</v>
      </c>
      <c r="F302" s="166"/>
      <c r="G302" s="167" t="s">
        <v>70</v>
      </c>
      <c r="H302" s="168"/>
      <c r="I302" s="148"/>
      <c r="J302" s="151"/>
      <c r="K302" s="6">
        <v>385</v>
      </c>
    </row>
    <row r="303" spans="1:11">
      <c r="A303" s="32" t="str">
        <f t="shared" si="13"/>
        <v>DM13386</v>
      </c>
      <c r="B303" s="93">
        <f t="shared" si="14"/>
        <v>43387</v>
      </c>
      <c r="C303" s="145"/>
      <c r="D303" s="145"/>
      <c r="E303" s="165" t="s">
        <v>73</v>
      </c>
      <c r="F303" s="166"/>
      <c r="G303" s="167" t="s">
        <v>72</v>
      </c>
      <c r="H303" s="168"/>
      <c r="I303" s="148"/>
      <c r="J303" s="151"/>
      <c r="K303" s="6">
        <v>386</v>
      </c>
    </row>
    <row r="304" spans="1:11">
      <c r="A304" s="32" t="str">
        <f t="shared" si="13"/>
        <v>DM13387</v>
      </c>
      <c r="B304" s="93">
        <f t="shared" si="14"/>
        <v>43388</v>
      </c>
      <c r="C304" s="145"/>
      <c r="D304" s="145"/>
      <c r="E304" s="165" t="s">
        <v>77</v>
      </c>
      <c r="F304" s="166"/>
      <c r="G304" s="167" t="s">
        <v>74</v>
      </c>
      <c r="H304" s="168"/>
      <c r="I304" s="148"/>
      <c r="J304" s="151"/>
      <c r="K304" s="6">
        <v>387</v>
      </c>
    </row>
    <row r="305" spans="1:11">
      <c r="A305" s="32" t="str">
        <f t="shared" si="13"/>
        <v>DM13388</v>
      </c>
      <c r="B305" s="93">
        <f t="shared" si="14"/>
        <v>43389</v>
      </c>
      <c r="C305" s="145"/>
      <c r="D305" s="145"/>
      <c r="E305" s="165" t="s">
        <v>78</v>
      </c>
      <c r="F305" s="166"/>
      <c r="G305" s="167" t="s">
        <v>75</v>
      </c>
      <c r="H305" s="168"/>
      <c r="I305" s="148"/>
      <c r="J305" s="151"/>
      <c r="K305" s="6">
        <v>388</v>
      </c>
    </row>
    <row r="306" spans="1:11">
      <c r="A306" s="32" t="str">
        <f t="shared" si="13"/>
        <v>DM13389</v>
      </c>
      <c r="B306" s="93">
        <f t="shared" si="14"/>
        <v>43390</v>
      </c>
      <c r="C306" s="146"/>
      <c r="D306" s="146"/>
      <c r="E306" s="165" t="s">
        <v>79</v>
      </c>
      <c r="F306" s="166"/>
      <c r="G306" s="167" t="s">
        <v>76</v>
      </c>
      <c r="H306" s="168"/>
      <c r="I306" s="149"/>
      <c r="J306" s="152"/>
      <c r="K306" s="6">
        <v>389</v>
      </c>
    </row>
    <row r="307" spans="1:11">
      <c r="A307" s="32" t="str">
        <f t="shared" si="13"/>
        <v>DM13390</v>
      </c>
      <c r="B307" s="93">
        <f t="shared" si="14"/>
        <v>43391</v>
      </c>
      <c r="C307" s="104" t="s">
        <v>164</v>
      </c>
      <c r="D307" s="102" t="s">
        <v>81</v>
      </c>
      <c r="E307" s="83">
        <v>0</v>
      </c>
      <c r="F307" s="83">
        <v>0</v>
      </c>
      <c r="G307" s="83">
        <v>0</v>
      </c>
      <c r="H307" s="102" t="s">
        <v>54</v>
      </c>
      <c r="I307" s="104" t="s">
        <v>165</v>
      </c>
      <c r="J307" s="104" t="s">
        <v>166</v>
      </c>
      <c r="K307" s="6">
        <v>390</v>
      </c>
    </row>
    <row r="308" spans="1:11">
      <c r="A308" s="32" t="str">
        <f t="shared" si="13"/>
        <v>DM13391</v>
      </c>
      <c r="B308" s="93">
        <f t="shared" si="14"/>
        <v>43392</v>
      </c>
      <c r="C308" s="104" t="s">
        <v>167</v>
      </c>
      <c r="D308" s="102" t="s">
        <v>81</v>
      </c>
      <c r="E308" s="83">
        <v>0</v>
      </c>
      <c r="F308" s="83">
        <v>0</v>
      </c>
      <c r="G308" s="83">
        <v>0</v>
      </c>
      <c r="H308" s="102" t="s">
        <v>54</v>
      </c>
      <c r="I308" s="104" t="s">
        <v>168</v>
      </c>
      <c r="J308" s="104" t="s">
        <v>166</v>
      </c>
      <c r="K308" s="6">
        <v>391</v>
      </c>
    </row>
    <row r="309" spans="1:11">
      <c r="A309" s="32" t="str">
        <f t="shared" si="13"/>
        <v>DM13392</v>
      </c>
      <c r="B309" s="93">
        <f t="shared" si="14"/>
        <v>43393</v>
      </c>
      <c r="C309" s="35" t="s">
        <v>0</v>
      </c>
      <c r="D309" s="64"/>
      <c r="E309" s="47"/>
      <c r="F309" s="48"/>
      <c r="G309" s="48"/>
      <c r="H309" s="49"/>
      <c r="I309" s="34"/>
      <c r="J309" s="33"/>
      <c r="K309" s="6">
        <v>392</v>
      </c>
    </row>
    <row r="310" spans="1:11">
      <c r="A310" s="32" t="str">
        <f t="shared" si="13"/>
        <v>DM13393</v>
      </c>
      <c r="B310" s="93">
        <f t="shared" si="14"/>
        <v>43394</v>
      </c>
      <c r="C310" s="35" t="s">
        <v>0</v>
      </c>
      <c r="D310" s="64"/>
      <c r="E310" s="47"/>
      <c r="F310" s="48"/>
      <c r="G310" s="48"/>
      <c r="H310" s="49"/>
      <c r="I310" s="34"/>
      <c r="J310" s="33"/>
      <c r="K310" s="6">
        <v>393</v>
      </c>
    </row>
    <row r="311" spans="1:11">
      <c r="A311" s="32" t="str">
        <f t="shared" si="13"/>
        <v>DM13394</v>
      </c>
      <c r="B311" s="93">
        <f t="shared" si="14"/>
        <v>43395</v>
      </c>
      <c r="C311" s="35" t="s">
        <v>0</v>
      </c>
      <c r="D311" s="64"/>
      <c r="E311" s="47"/>
      <c r="F311" s="48"/>
      <c r="G311" s="48"/>
      <c r="H311" s="49"/>
      <c r="I311" s="34"/>
      <c r="J311" s="33"/>
      <c r="K311" s="6">
        <v>394</v>
      </c>
    </row>
    <row r="312" spans="1:11">
      <c r="A312" s="32" t="str">
        <f t="shared" si="13"/>
        <v>DM13395</v>
      </c>
      <c r="B312" s="93">
        <f t="shared" si="14"/>
        <v>43396</v>
      </c>
      <c r="C312" s="94" t="s">
        <v>114</v>
      </c>
      <c r="D312" s="102" t="s">
        <v>116</v>
      </c>
      <c r="E312" s="83">
        <v>0</v>
      </c>
      <c r="F312" s="83">
        <v>0</v>
      </c>
      <c r="G312" s="83">
        <v>0</v>
      </c>
      <c r="H312" s="114" t="s">
        <v>262</v>
      </c>
      <c r="I312" s="103" t="s">
        <v>159</v>
      </c>
      <c r="J312" s="104" t="s">
        <v>156</v>
      </c>
      <c r="K312" s="6">
        <v>395</v>
      </c>
    </row>
    <row r="313" spans="1:11" ht="15" customHeight="1">
      <c r="A313" s="32" t="str">
        <f t="shared" si="13"/>
        <v>DM13396</v>
      </c>
      <c r="B313" s="93">
        <f t="shared" si="14"/>
        <v>43397</v>
      </c>
      <c r="C313" s="94" t="s">
        <v>194</v>
      </c>
      <c r="D313" s="102" t="s">
        <v>116</v>
      </c>
      <c r="E313" s="61">
        <v>0</v>
      </c>
      <c r="F313" s="61">
        <v>0</v>
      </c>
      <c r="G313" s="99" t="s">
        <v>198</v>
      </c>
      <c r="H313" s="99" t="s">
        <v>198</v>
      </c>
      <c r="I313" s="100" t="s">
        <v>199</v>
      </c>
      <c r="J313" s="101" t="s">
        <v>200</v>
      </c>
      <c r="K313" s="6">
        <v>396</v>
      </c>
    </row>
    <row r="314" spans="1:11" ht="15" customHeight="1">
      <c r="A314" s="32" t="str">
        <f t="shared" si="13"/>
        <v>DM13397</v>
      </c>
      <c r="B314" s="93">
        <f t="shared" si="14"/>
        <v>43398</v>
      </c>
      <c r="C314" s="105"/>
      <c r="D314" s="105"/>
      <c r="E314" s="108" t="s">
        <v>26</v>
      </c>
      <c r="F314" s="109"/>
      <c r="G314" s="108" t="s">
        <v>27</v>
      </c>
      <c r="H314" s="109"/>
      <c r="I314" s="107"/>
      <c r="J314" s="106"/>
      <c r="K314" s="6">
        <v>397</v>
      </c>
    </row>
    <row r="315" spans="1:11" ht="15" customHeight="1">
      <c r="A315" s="32" t="str">
        <f t="shared" si="13"/>
        <v>DM13398</v>
      </c>
      <c r="B315" s="93">
        <f t="shared" si="14"/>
        <v>43399</v>
      </c>
      <c r="C315" s="105"/>
      <c r="D315" s="105"/>
      <c r="E315" s="108" t="s">
        <v>28</v>
      </c>
      <c r="F315" s="109"/>
      <c r="G315" s="108" t="s">
        <v>29</v>
      </c>
      <c r="H315" s="109"/>
      <c r="I315" s="107"/>
      <c r="J315" s="106"/>
      <c r="K315" s="6">
        <v>398</v>
      </c>
    </row>
    <row r="316" spans="1:11" ht="15" customHeight="1" thickBot="1">
      <c r="A316" s="32" t="str">
        <f t="shared" si="13"/>
        <v>DM13399</v>
      </c>
      <c r="B316" s="93">
        <f t="shared" si="14"/>
        <v>43400</v>
      </c>
      <c r="C316" s="105"/>
      <c r="D316" s="105"/>
      <c r="E316" s="108" t="s">
        <v>30</v>
      </c>
      <c r="F316" s="109"/>
      <c r="G316" s="108" t="s">
        <v>31</v>
      </c>
      <c r="H316" s="109"/>
      <c r="I316" s="107"/>
      <c r="J316" s="106"/>
      <c r="K316" s="6">
        <v>399</v>
      </c>
    </row>
    <row r="317" spans="1:11" ht="15.6" customHeight="1">
      <c r="A317" s="141" t="s">
        <v>175</v>
      </c>
      <c r="B317" s="142"/>
      <c r="C317" s="142"/>
      <c r="D317" s="142"/>
      <c r="E317" s="142"/>
      <c r="F317" s="142"/>
      <c r="G317" s="142"/>
      <c r="H317" s="142"/>
      <c r="I317" s="142"/>
      <c r="J317" s="143"/>
      <c r="K317" s="111"/>
    </row>
    <row r="318" spans="1:11" ht="15" customHeight="1">
      <c r="A318" s="32" t="str">
        <f t="shared" ref="A318:A357" si="15">LEFT($D$3, 2) &amp; (MID($D$3, 3, LEN($D$3)) + K318)</f>
        <v>DM13400</v>
      </c>
      <c r="B318" s="93">
        <f t="shared" ref="B318:B340" si="16">$D$4+K318</f>
        <v>43401</v>
      </c>
      <c r="C318" s="169" t="s">
        <v>59</v>
      </c>
      <c r="D318" s="169" t="s">
        <v>58</v>
      </c>
      <c r="E318" s="170" t="s">
        <v>25</v>
      </c>
      <c r="F318" s="170"/>
      <c r="G318" s="170" t="s">
        <v>65</v>
      </c>
      <c r="H318" s="170"/>
      <c r="I318" s="171" t="s">
        <v>60</v>
      </c>
      <c r="J318" s="172" t="s">
        <v>82</v>
      </c>
      <c r="K318" s="111">
        <v>400</v>
      </c>
    </row>
    <row r="319" spans="1:11" ht="15" customHeight="1">
      <c r="A319" s="32" t="str">
        <f t="shared" si="15"/>
        <v>DM13401</v>
      </c>
      <c r="B319" s="93">
        <f t="shared" si="16"/>
        <v>43402</v>
      </c>
      <c r="C319" s="169"/>
      <c r="D319" s="169"/>
      <c r="E319" s="170" t="s">
        <v>26</v>
      </c>
      <c r="F319" s="170"/>
      <c r="G319" s="170" t="s">
        <v>27</v>
      </c>
      <c r="H319" s="170"/>
      <c r="I319" s="171"/>
      <c r="J319" s="172"/>
      <c r="K319" s="111">
        <v>401</v>
      </c>
    </row>
    <row r="320" spans="1:11" ht="15" customHeight="1">
      <c r="A320" s="32" t="str">
        <f t="shared" si="15"/>
        <v>DM13402</v>
      </c>
      <c r="B320" s="93">
        <f t="shared" si="16"/>
        <v>43403</v>
      </c>
      <c r="C320" s="169"/>
      <c r="D320" s="169"/>
      <c r="E320" s="170" t="s">
        <v>28</v>
      </c>
      <c r="F320" s="170"/>
      <c r="G320" s="170" t="s">
        <v>29</v>
      </c>
      <c r="H320" s="170"/>
      <c r="I320" s="171"/>
      <c r="J320" s="172"/>
      <c r="K320" s="111">
        <v>402</v>
      </c>
    </row>
    <row r="321" spans="1:11">
      <c r="A321" s="32" t="str">
        <f t="shared" si="15"/>
        <v>DM13403</v>
      </c>
      <c r="B321" s="93">
        <f t="shared" si="16"/>
        <v>43404</v>
      </c>
      <c r="C321" s="144" t="s">
        <v>61</v>
      </c>
      <c r="D321" s="144" t="s">
        <v>81</v>
      </c>
      <c r="E321" s="165" t="s">
        <v>67</v>
      </c>
      <c r="F321" s="166"/>
      <c r="G321" s="167" t="s">
        <v>66</v>
      </c>
      <c r="H321" s="168"/>
      <c r="I321" s="147" t="s">
        <v>62</v>
      </c>
      <c r="J321" s="150" t="s">
        <v>63</v>
      </c>
      <c r="K321" s="111">
        <v>403</v>
      </c>
    </row>
    <row r="322" spans="1:11">
      <c r="A322" s="32" t="str">
        <f t="shared" si="15"/>
        <v>DM13404</v>
      </c>
      <c r="B322" s="93">
        <f t="shared" si="16"/>
        <v>43405</v>
      </c>
      <c r="C322" s="145"/>
      <c r="D322" s="145"/>
      <c r="E322" s="165" t="s">
        <v>69</v>
      </c>
      <c r="F322" s="166"/>
      <c r="G322" s="167" t="s">
        <v>68</v>
      </c>
      <c r="H322" s="168"/>
      <c r="I322" s="148"/>
      <c r="J322" s="151"/>
      <c r="K322" s="111">
        <v>404</v>
      </c>
    </row>
    <row r="323" spans="1:11">
      <c r="A323" s="32" t="str">
        <f t="shared" si="15"/>
        <v>DM13405</v>
      </c>
      <c r="B323" s="93">
        <f t="shared" si="16"/>
        <v>43406</v>
      </c>
      <c r="C323" s="145"/>
      <c r="D323" s="145"/>
      <c r="E323" s="165" t="s">
        <v>71</v>
      </c>
      <c r="F323" s="166"/>
      <c r="G323" s="167" t="s">
        <v>70</v>
      </c>
      <c r="H323" s="168"/>
      <c r="I323" s="148"/>
      <c r="J323" s="151"/>
      <c r="K323" s="111">
        <v>405</v>
      </c>
    </row>
    <row r="324" spans="1:11">
      <c r="A324" s="32" t="str">
        <f t="shared" si="15"/>
        <v>DM13406</v>
      </c>
      <c r="B324" s="93">
        <f t="shared" si="16"/>
        <v>43407</v>
      </c>
      <c r="C324" s="145"/>
      <c r="D324" s="145"/>
      <c r="E324" s="165" t="s">
        <v>73</v>
      </c>
      <c r="F324" s="166"/>
      <c r="G324" s="167" t="s">
        <v>72</v>
      </c>
      <c r="H324" s="168"/>
      <c r="I324" s="148"/>
      <c r="J324" s="151"/>
      <c r="K324" s="111">
        <v>406</v>
      </c>
    </row>
    <row r="325" spans="1:11">
      <c r="A325" s="32" t="str">
        <f t="shared" si="15"/>
        <v>DM13407</v>
      </c>
      <c r="B325" s="93">
        <f t="shared" si="16"/>
        <v>43408</v>
      </c>
      <c r="C325" s="145"/>
      <c r="D325" s="145"/>
      <c r="E325" s="165" t="s">
        <v>77</v>
      </c>
      <c r="F325" s="166"/>
      <c r="G325" s="167" t="s">
        <v>74</v>
      </c>
      <c r="H325" s="168"/>
      <c r="I325" s="148"/>
      <c r="J325" s="151"/>
      <c r="K325" s="111">
        <v>407</v>
      </c>
    </row>
    <row r="326" spans="1:11">
      <c r="A326" s="32" t="str">
        <f t="shared" si="15"/>
        <v>DM13408</v>
      </c>
      <c r="B326" s="93">
        <f t="shared" si="16"/>
        <v>43409</v>
      </c>
      <c r="C326" s="145"/>
      <c r="D326" s="145"/>
      <c r="E326" s="165" t="s">
        <v>78</v>
      </c>
      <c r="F326" s="166"/>
      <c r="G326" s="167" t="s">
        <v>75</v>
      </c>
      <c r="H326" s="168"/>
      <c r="I326" s="148"/>
      <c r="J326" s="151"/>
      <c r="K326" s="111">
        <v>408</v>
      </c>
    </row>
    <row r="327" spans="1:11">
      <c r="A327" s="32" t="str">
        <f t="shared" si="15"/>
        <v>DM13409</v>
      </c>
      <c r="B327" s="93">
        <f t="shared" si="16"/>
        <v>43410</v>
      </c>
      <c r="C327" s="146"/>
      <c r="D327" s="146"/>
      <c r="E327" s="165" t="s">
        <v>79</v>
      </c>
      <c r="F327" s="166"/>
      <c r="G327" s="167" t="s">
        <v>76</v>
      </c>
      <c r="H327" s="168"/>
      <c r="I327" s="149"/>
      <c r="J327" s="152"/>
      <c r="K327" s="111">
        <v>409</v>
      </c>
    </row>
    <row r="328" spans="1:11">
      <c r="A328" s="32" t="str">
        <f t="shared" si="15"/>
        <v>DM13410</v>
      </c>
      <c r="B328" s="93">
        <f t="shared" si="16"/>
        <v>43411</v>
      </c>
      <c r="C328" s="144" t="s">
        <v>121</v>
      </c>
      <c r="D328" s="144" t="s">
        <v>58</v>
      </c>
      <c r="E328" s="139" t="s">
        <v>25</v>
      </c>
      <c r="F328" s="140"/>
      <c r="G328" s="139" t="s">
        <v>65</v>
      </c>
      <c r="H328" s="140"/>
      <c r="I328" s="147" t="s">
        <v>1</v>
      </c>
      <c r="J328" s="150" t="s">
        <v>64</v>
      </c>
      <c r="K328" s="111">
        <v>410</v>
      </c>
    </row>
    <row r="329" spans="1:11">
      <c r="A329" s="32" t="str">
        <f t="shared" si="15"/>
        <v>DM13411</v>
      </c>
      <c r="B329" s="93">
        <f t="shared" si="16"/>
        <v>43412</v>
      </c>
      <c r="C329" s="145"/>
      <c r="D329" s="145"/>
      <c r="E329" s="139" t="s">
        <v>26</v>
      </c>
      <c r="F329" s="140"/>
      <c r="G329" s="139" t="s">
        <v>27</v>
      </c>
      <c r="H329" s="140"/>
      <c r="I329" s="148"/>
      <c r="J329" s="151"/>
      <c r="K329" s="111">
        <v>411</v>
      </c>
    </row>
    <row r="330" spans="1:11">
      <c r="A330" s="32" t="str">
        <f t="shared" si="15"/>
        <v>DM13412</v>
      </c>
      <c r="B330" s="93">
        <f t="shared" si="16"/>
        <v>43413</v>
      </c>
      <c r="C330" s="145"/>
      <c r="D330" s="145"/>
      <c r="E330" s="139" t="s">
        <v>28</v>
      </c>
      <c r="F330" s="140"/>
      <c r="G330" s="139" t="s">
        <v>29</v>
      </c>
      <c r="H330" s="140"/>
      <c r="I330" s="148"/>
      <c r="J330" s="151"/>
      <c r="K330" s="111">
        <v>412</v>
      </c>
    </row>
    <row r="331" spans="1:11">
      <c r="A331" s="32" t="str">
        <f t="shared" si="15"/>
        <v>DM13413</v>
      </c>
      <c r="B331" s="93">
        <f t="shared" si="16"/>
        <v>43414</v>
      </c>
      <c r="C331" s="145"/>
      <c r="D331" s="145"/>
      <c r="E331" s="139" t="s">
        <v>30</v>
      </c>
      <c r="F331" s="140"/>
      <c r="G331" s="139" t="s">
        <v>31</v>
      </c>
      <c r="H331" s="140"/>
      <c r="I331" s="148"/>
      <c r="J331" s="151"/>
      <c r="K331" s="111">
        <v>413</v>
      </c>
    </row>
    <row r="332" spans="1:11">
      <c r="A332" s="32" t="str">
        <f t="shared" si="15"/>
        <v>DM13414</v>
      </c>
      <c r="B332" s="93">
        <f t="shared" si="16"/>
        <v>43415</v>
      </c>
      <c r="C332" s="145"/>
      <c r="D332" s="145"/>
      <c r="E332" s="139" t="s">
        <v>11</v>
      </c>
      <c r="F332" s="140"/>
      <c r="G332" s="139" t="s">
        <v>12</v>
      </c>
      <c r="H332" s="140"/>
      <c r="I332" s="148"/>
      <c r="J332" s="151"/>
      <c r="K332" s="111">
        <v>414</v>
      </c>
    </row>
    <row r="333" spans="1:11">
      <c r="A333" s="32" t="str">
        <f t="shared" si="15"/>
        <v>DM13415</v>
      </c>
      <c r="B333" s="93">
        <f t="shared" si="16"/>
        <v>43416</v>
      </c>
      <c r="C333" s="145"/>
      <c r="D333" s="145"/>
      <c r="E333" s="139" t="s">
        <v>13</v>
      </c>
      <c r="F333" s="140"/>
      <c r="G333" s="139" t="s">
        <v>14</v>
      </c>
      <c r="H333" s="140"/>
      <c r="I333" s="148"/>
      <c r="J333" s="151"/>
      <c r="K333" s="111">
        <v>415</v>
      </c>
    </row>
    <row r="334" spans="1:11">
      <c r="A334" s="32" t="str">
        <f t="shared" si="15"/>
        <v>DM13416</v>
      </c>
      <c r="B334" s="93">
        <f t="shared" si="16"/>
        <v>43417</v>
      </c>
      <c r="C334" s="145"/>
      <c r="D334" s="145"/>
      <c r="E334" s="139" t="s">
        <v>16</v>
      </c>
      <c r="F334" s="140"/>
      <c r="G334" s="139" t="s">
        <v>17</v>
      </c>
      <c r="H334" s="140"/>
      <c r="I334" s="148"/>
      <c r="J334" s="151"/>
      <c r="K334" s="111">
        <v>416</v>
      </c>
    </row>
    <row r="335" spans="1:11">
      <c r="A335" s="32" t="str">
        <f t="shared" si="15"/>
        <v>DM13417</v>
      </c>
      <c r="B335" s="93">
        <f t="shared" si="16"/>
        <v>43418</v>
      </c>
      <c r="C335" s="145"/>
      <c r="D335" s="145"/>
      <c r="E335" s="139" t="s">
        <v>18</v>
      </c>
      <c r="F335" s="140"/>
      <c r="G335" s="139" t="s">
        <v>19</v>
      </c>
      <c r="H335" s="140"/>
      <c r="I335" s="148"/>
      <c r="J335" s="151"/>
      <c r="K335" s="111">
        <v>417</v>
      </c>
    </row>
    <row r="336" spans="1:11">
      <c r="A336" s="32" t="str">
        <f t="shared" si="15"/>
        <v>DM13418</v>
      </c>
      <c r="B336" s="93">
        <f t="shared" si="16"/>
        <v>43419</v>
      </c>
      <c r="C336" s="145"/>
      <c r="D336" s="145"/>
      <c r="E336" s="139" t="s">
        <v>20</v>
      </c>
      <c r="F336" s="140"/>
      <c r="G336" s="139" t="s">
        <v>21</v>
      </c>
      <c r="H336" s="140"/>
      <c r="I336" s="148"/>
      <c r="J336" s="151"/>
      <c r="K336" s="111">
        <v>418</v>
      </c>
    </row>
    <row r="337" spans="1:11">
      <c r="A337" s="32" t="str">
        <f t="shared" si="15"/>
        <v>DM13419</v>
      </c>
      <c r="B337" s="93">
        <f t="shared" si="16"/>
        <v>43420</v>
      </c>
      <c r="C337" s="146"/>
      <c r="D337" s="146"/>
      <c r="E337" s="139" t="s">
        <v>22</v>
      </c>
      <c r="F337" s="140"/>
      <c r="G337" s="139" t="s">
        <v>23</v>
      </c>
      <c r="H337" s="140"/>
      <c r="I337" s="149"/>
      <c r="J337" s="152"/>
      <c r="K337" s="111">
        <v>419</v>
      </c>
    </row>
    <row r="338" spans="1:11">
      <c r="A338" s="32" t="str">
        <f t="shared" si="15"/>
        <v>DM13420</v>
      </c>
      <c r="B338" s="93">
        <f t="shared" si="16"/>
        <v>43421</v>
      </c>
      <c r="C338" s="144" t="s">
        <v>170</v>
      </c>
      <c r="D338" s="144" t="s">
        <v>81</v>
      </c>
      <c r="E338" s="139" t="s">
        <v>25</v>
      </c>
      <c r="F338" s="140"/>
      <c r="G338" s="139" t="s">
        <v>65</v>
      </c>
      <c r="H338" s="140"/>
      <c r="I338" s="147" t="s">
        <v>171</v>
      </c>
      <c r="J338" s="150" t="s">
        <v>64</v>
      </c>
      <c r="K338" s="111">
        <v>420</v>
      </c>
    </row>
    <row r="339" spans="1:11">
      <c r="A339" s="32" t="str">
        <f t="shared" si="15"/>
        <v>DM13421</v>
      </c>
      <c r="B339" s="93">
        <f t="shared" si="16"/>
        <v>43422</v>
      </c>
      <c r="C339" s="145"/>
      <c r="D339" s="145"/>
      <c r="E339" s="139" t="s">
        <v>26</v>
      </c>
      <c r="F339" s="140"/>
      <c r="G339" s="139" t="s">
        <v>27</v>
      </c>
      <c r="H339" s="140"/>
      <c r="I339" s="148"/>
      <c r="J339" s="151"/>
      <c r="K339" s="111">
        <v>421</v>
      </c>
    </row>
    <row r="340" spans="1:11">
      <c r="A340" s="32" t="str">
        <f t="shared" si="15"/>
        <v>DM13422</v>
      </c>
      <c r="B340" s="93">
        <f t="shared" si="16"/>
        <v>43423</v>
      </c>
      <c r="C340" s="145"/>
      <c r="D340" s="145"/>
      <c r="E340" s="139" t="s">
        <v>28</v>
      </c>
      <c r="F340" s="140"/>
      <c r="G340" s="139" t="s">
        <v>29</v>
      </c>
      <c r="H340" s="140"/>
      <c r="I340" s="148"/>
      <c r="J340" s="151"/>
      <c r="K340" s="111">
        <v>422</v>
      </c>
    </row>
    <row r="341" spans="1:11">
      <c r="A341" s="32" t="str">
        <f t="shared" si="15"/>
        <v>DM13423</v>
      </c>
      <c r="B341" s="93">
        <f t="shared" ref="B341:B357" si="17">$D$4+K341</f>
        <v>43424</v>
      </c>
      <c r="C341" s="145"/>
      <c r="D341" s="145"/>
      <c r="E341" s="139" t="s">
        <v>30</v>
      </c>
      <c r="F341" s="140"/>
      <c r="G341" s="139" t="s">
        <v>31</v>
      </c>
      <c r="H341" s="140"/>
      <c r="I341" s="148"/>
      <c r="J341" s="151"/>
      <c r="K341" s="111">
        <v>423</v>
      </c>
    </row>
    <row r="342" spans="1:11">
      <c r="A342" s="32" t="str">
        <f t="shared" si="15"/>
        <v>DM13424</v>
      </c>
      <c r="B342" s="93">
        <f t="shared" si="17"/>
        <v>43425</v>
      </c>
      <c r="C342" s="145"/>
      <c r="D342" s="145"/>
      <c r="E342" s="139" t="s">
        <v>11</v>
      </c>
      <c r="F342" s="140"/>
      <c r="G342" s="139" t="s">
        <v>12</v>
      </c>
      <c r="H342" s="140"/>
      <c r="I342" s="148"/>
      <c r="J342" s="151"/>
      <c r="K342" s="111">
        <v>424</v>
      </c>
    </row>
    <row r="343" spans="1:11">
      <c r="A343" s="32" t="str">
        <f t="shared" si="15"/>
        <v>DM13425</v>
      </c>
      <c r="B343" s="93">
        <f t="shared" si="17"/>
        <v>43426</v>
      </c>
      <c r="C343" s="145"/>
      <c r="D343" s="145"/>
      <c r="E343" s="139" t="s">
        <v>13</v>
      </c>
      <c r="F343" s="140"/>
      <c r="G343" s="139" t="s">
        <v>14</v>
      </c>
      <c r="H343" s="140"/>
      <c r="I343" s="148"/>
      <c r="J343" s="151"/>
      <c r="K343" s="111">
        <v>425</v>
      </c>
    </row>
    <row r="344" spans="1:11">
      <c r="A344" s="32" t="str">
        <f t="shared" si="15"/>
        <v>DM13426</v>
      </c>
      <c r="B344" s="93">
        <f t="shared" si="17"/>
        <v>43427</v>
      </c>
      <c r="C344" s="145"/>
      <c r="D344" s="145"/>
      <c r="E344" s="139" t="s">
        <v>16</v>
      </c>
      <c r="F344" s="140"/>
      <c r="G344" s="139" t="s">
        <v>17</v>
      </c>
      <c r="H344" s="140"/>
      <c r="I344" s="148"/>
      <c r="J344" s="151"/>
      <c r="K344" s="111">
        <v>426</v>
      </c>
    </row>
    <row r="345" spans="1:11">
      <c r="A345" s="32" t="str">
        <f t="shared" si="15"/>
        <v>DM13427</v>
      </c>
      <c r="B345" s="93">
        <f t="shared" si="17"/>
        <v>43428</v>
      </c>
      <c r="C345" s="145"/>
      <c r="D345" s="145"/>
      <c r="E345" s="139" t="s">
        <v>18</v>
      </c>
      <c r="F345" s="140"/>
      <c r="G345" s="139" t="s">
        <v>19</v>
      </c>
      <c r="H345" s="140"/>
      <c r="I345" s="148"/>
      <c r="J345" s="151"/>
      <c r="K345" s="111">
        <v>427</v>
      </c>
    </row>
    <row r="346" spans="1:11">
      <c r="A346" s="32" t="str">
        <f t="shared" si="15"/>
        <v>DM13428</v>
      </c>
      <c r="B346" s="93">
        <f t="shared" si="17"/>
        <v>43429</v>
      </c>
      <c r="C346" s="145"/>
      <c r="D346" s="145"/>
      <c r="E346" s="139" t="s">
        <v>20</v>
      </c>
      <c r="F346" s="140"/>
      <c r="G346" s="139" t="s">
        <v>21</v>
      </c>
      <c r="H346" s="140"/>
      <c r="I346" s="148"/>
      <c r="J346" s="151"/>
      <c r="K346" s="111">
        <v>428</v>
      </c>
    </row>
    <row r="347" spans="1:11">
      <c r="A347" s="32" t="str">
        <f t="shared" si="15"/>
        <v>DM13429</v>
      </c>
      <c r="B347" s="93">
        <f t="shared" si="17"/>
        <v>43430</v>
      </c>
      <c r="C347" s="146"/>
      <c r="D347" s="146"/>
      <c r="E347" s="139" t="s">
        <v>22</v>
      </c>
      <c r="F347" s="140"/>
      <c r="G347" s="139" t="s">
        <v>23</v>
      </c>
      <c r="H347" s="140"/>
      <c r="I347" s="149"/>
      <c r="J347" s="152"/>
      <c r="K347" s="111">
        <v>429</v>
      </c>
    </row>
    <row r="348" spans="1:11" ht="30">
      <c r="A348" s="32" t="str">
        <f t="shared" si="15"/>
        <v>DM13430</v>
      </c>
      <c r="B348" s="93">
        <f t="shared" si="17"/>
        <v>43431</v>
      </c>
      <c r="C348" s="104" t="s">
        <v>172</v>
      </c>
      <c r="D348" s="102" t="s">
        <v>81</v>
      </c>
      <c r="E348" s="83" t="s">
        <v>38</v>
      </c>
      <c r="F348" s="83" t="s">
        <v>38</v>
      </c>
      <c r="G348" s="83" t="s">
        <v>38</v>
      </c>
      <c r="H348" s="83" t="s">
        <v>38</v>
      </c>
      <c r="I348" s="104" t="s">
        <v>174</v>
      </c>
      <c r="J348" s="104" t="s">
        <v>173</v>
      </c>
      <c r="K348" s="111">
        <v>430</v>
      </c>
    </row>
    <row r="349" spans="1:11">
      <c r="A349" s="32" t="str">
        <f t="shared" si="15"/>
        <v>DM13431</v>
      </c>
      <c r="B349" s="93">
        <f t="shared" si="17"/>
        <v>43432</v>
      </c>
      <c r="C349" s="94" t="s">
        <v>150</v>
      </c>
      <c r="D349" s="102" t="s">
        <v>81</v>
      </c>
      <c r="E349" s="83">
        <v>0</v>
      </c>
      <c r="F349" s="83">
        <v>0</v>
      </c>
      <c r="G349" s="83">
        <v>0</v>
      </c>
      <c r="H349" s="114" t="s">
        <v>262</v>
      </c>
      <c r="I349" s="103" t="s">
        <v>159</v>
      </c>
      <c r="J349" s="104" t="s">
        <v>156</v>
      </c>
      <c r="K349" s="111">
        <v>431</v>
      </c>
    </row>
    <row r="350" spans="1:11">
      <c r="A350" s="32" t="str">
        <f t="shared" si="15"/>
        <v>DM13432</v>
      </c>
      <c r="B350" s="93">
        <f t="shared" si="17"/>
        <v>43433</v>
      </c>
      <c r="C350" s="35" t="s">
        <v>0</v>
      </c>
      <c r="D350" s="64"/>
      <c r="E350" s="47"/>
      <c r="F350" s="48"/>
      <c r="G350" s="48"/>
      <c r="H350" s="49"/>
      <c r="I350" s="34"/>
      <c r="J350" s="33"/>
      <c r="K350" s="111">
        <v>432</v>
      </c>
    </row>
    <row r="351" spans="1:11">
      <c r="A351" s="32" t="str">
        <f t="shared" si="15"/>
        <v>DM13433</v>
      </c>
      <c r="B351" s="93">
        <f t="shared" si="17"/>
        <v>43434</v>
      </c>
      <c r="C351" s="35" t="s">
        <v>0</v>
      </c>
      <c r="D351" s="64"/>
      <c r="E351" s="47"/>
      <c r="F351" s="48"/>
      <c r="G351" s="48"/>
      <c r="H351" s="49"/>
      <c r="I351" s="34"/>
      <c r="J351" s="33"/>
      <c r="K351" s="111">
        <v>433</v>
      </c>
    </row>
    <row r="352" spans="1:11">
      <c r="A352" s="32" t="str">
        <f t="shared" si="15"/>
        <v>DM13434</v>
      </c>
      <c r="B352" s="93">
        <f t="shared" si="17"/>
        <v>43435</v>
      </c>
      <c r="C352" s="35" t="s">
        <v>0</v>
      </c>
      <c r="D352" s="64"/>
      <c r="E352" s="47"/>
      <c r="F352" s="48"/>
      <c r="G352" s="48"/>
      <c r="H352" s="49"/>
      <c r="I352" s="34"/>
      <c r="J352" s="33"/>
      <c r="K352" s="111">
        <v>434</v>
      </c>
    </row>
    <row r="353" spans="1:11">
      <c r="A353" s="32" t="str">
        <f t="shared" si="15"/>
        <v>DM13435</v>
      </c>
      <c r="B353" s="93">
        <f t="shared" si="17"/>
        <v>43436</v>
      </c>
      <c r="C353" s="94" t="s">
        <v>114</v>
      </c>
      <c r="D353" s="102" t="s">
        <v>116</v>
      </c>
      <c r="E353" s="83">
        <v>0</v>
      </c>
      <c r="F353" s="83">
        <v>0</v>
      </c>
      <c r="G353" s="83">
        <v>0</v>
      </c>
      <c r="H353" s="114" t="s">
        <v>262</v>
      </c>
      <c r="I353" s="103" t="s">
        <v>159</v>
      </c>
      <c r="J353" s="104" t="s">
        <v>156</v>
      </c>
      <c r="K353" s="111">
        <v>435</v>
      </c>
    </row>
    <row r="354" spans="1:11" ht="15" customHeight="1">
      <c r="A354" s="32" t="str">
        <f t="shared" si="15"/>
        <v>DM13436</v>
      </c>
      <c r="B354" s="93">
        <f t="shared" si="17"/>
        <v>43437</v>
      </c>
      <c r="C354" s="102" t="s">
        <v>194</v>
      </c>
      <c r="D354" s="102" t="s">
        <v>116</v>
      </c>
      <c r="E354" s="61">
        <v>0</v>
      </c>
      <c r="F354" s="61">
        <v>0</v>
      </c>
      <c r="G354" s="99" t="s">
        <v>198</v>
      </c>
      <c r="H354" s="99" t="s">
        <v>198</v>
      </c>
      <c r="I354" s="103" t="s">
        <v>199</v>
      </c>
      <c r="J354" s="104" t="s">
        <v>200</v>
      </c>
      <c r="K354" s="111">
        <v>436</v>
      </c>
    </row>
    <row r="355" spans="1:11" ht="15" customHeight="1">
      <c r="A355" s="32" t="str">
        <f t="shared" si="15"/>
        <v>DM13437</v>
      </c>
      <c r="B355" s="93">
        <f t="shared" si="17"/>
        <v>43438</v>
      </c>
      <c r="C355" s="35" t="s">
        <v>0</v>
      </c>
      <c r="D355" s="64"/>
      <c r="E355" s="47"/>
      <c r="F355" s="48"/>
      <c r="G355" s="48"/>
      <c r="H355" s="49"/>
      <c r="I355" s="34"/>
      <c r="J355" s="35"/>
      <c r="K355" s="111">
        <v>437</v>
      </c>
    </row>
    <row r="356" spans="1:11" ht="15" customHeight="1">
      <c r="A356" s="32" t="str">
        <f t="shared" si="15"/>
        <v>DM13438</v>
      </c>
      <c r="B356" s="93">
        <f t="shared" si="17"/>
        <v>43439</v>
      </c>
      <c r="C356" s="35" t="s">
        <v>0</v>
      </c>
      <c r="D356" s="64"/>
      <c r="E356" s="47"/>
      <c r="F356" s="48"/>
      <c r="G356" s="48"/>
      <c r="H356" s="49"/>
      <c r="I356" s="34"/>
      <c r="J356" s="35"/>
      <c r="K356" s="111">
        <v>438</v>
      </c>
    </row>
    <row r="357" spans="1:11" ht="15" customHeight="1">
      <c r="A357" s="32" t="str">
        <f t="shared" si="15"/>
        <v>DM13439</v>
      </c>
      <c r="B357" s="93">
        <f t="shared" si="17"/>
        <v>43440</v>
      </c>
      <c r="C357" s="35" t="s">
        <v>0</v>
      </c>
      <c r="D357" s="34"/>
      <c r="E357" s="97"/>
      <c r="F357" s="98"/>
      <c r="G357" s="98"/>
      <c r="H357" s="112"/>
      <c r="I357" s="34"/>
      <c r="J357" s="35"/>
      <c r="K357" s="111">
        <v>439</v>
      </c>
    </row>
  </sheetData>
  <mergeCells count="639">
    <mergeCell ref="C1:J1"/>
    <mergeCell ref="E2:J2"/>
    <mergeCell ref="A3:C3"/>
    <mergeCell ref="A4:C4"/>
    <mergeCell ref="E5:H5"/>
    <mergeCell ref="A6:J6"/>
    <mergeCell ref="A13:J13"/>
    <mergeCell ref="C14:C16"/>
    <mergeCell ref="D14:D16"/>
    <mergeCell ref="E14:F14"/>
    <mergeCell ref="G14:H14"/>
    <mergeCell ref="I14:I16"/>
    <mergeCell ref="J14:J16"/>
    <mergeCell ref="E15:F15"/>
    <mergeCell ref="G15:H15"/>
    <mergeCell ref="E16:F16"/>
    <mergeCell ref="G16:H16"/>
    <mergeCell ref="C17:C23"/>
    <mergeCell ref="D17:D23"/>
    <mergeCell ref="E17:F17"/>
    <mergeCell ref="G17:H17"/>
    <mergeCell ref="I17:I23"/>
    <mergeCell ref="G22:H22"/>
    <mergeCell ref="E23:F23"/>
    <mergeCell ref="G23:H23"/>
    <mergeCell ref="J17:J23"/>
    <mergeCell ref="E18:F18"/>
    <mergeCell ref="G18:H18"/>
    <mergeCell ref="E19:F19"/>
    <mergeCell ref="G19:H19"/>
    <mergeCell ref="E20:F20"/>
    <mergeCell ref="G20:H20"/>
    <mergeCell ref="E21:F21"/>
    <mergeCell ref="G21:H21"/>
    <mergeCell ref="E22:F22"/>
    <mergeCell ref="I27:I50"/>
    <mergeCell ref="J27:J50"/>
    <mergeCell ref="E28:F28"/>
    <mergeCell ref="G28:H28"/>
    <mergeCell ref="E29:F29"/>
    <mergeCell ref="G29:H29"/>
    <mergeCell ref="C24:C26"/>
    <mergeCell ref="D24:D26"/>
    <mergeCell ref="E24:F24"/>
    <mergeCell ref="G24:H24"/>
    <mergeCell ref="I24:I26"/>
    <mergeCell ref="J24:J26"/>
    <mergeCell ref="E25:F25"/>
    <mergeCell ref="G25:H25"/>
    <mergeCell ref="E26:F26"/>
    <mergeCell ref="G26:H26"/>
    <mergeCell ref="E30:F30"/>
    <mergeCell ref="G30:H30"/>
    <mergeCell ref="E31:F31"/>
    <mergeCell ref="G31:H31"/>
    <mergeCell ref="E32:F32"/>
    <mergeCell ref="G32:H32"/>
    <mergeCell ref="C27:C50"/>
    <mergeCell ref="D27:D50"/>
    <mergeCell ref="E27:F27"/>
    <mergeCell ref="G27:H27"/>
    <mergeCell ref="E36:F36"/>
    <mergeCell ref="G36:H36"/>
    <mergeCell ref="E37:F37"/>
    <mergeCell ref="G37:H37"/>
    <mergeCell ref="E38:F38"/>
    <mergeCell ref="G38:H38"/>
    <mergeCell ref="E33:F33"/>
    <mergeCell ref="G33:H33"/>
    <mergeCell ref="E34:F34"/>
    <mergeCell ref="G34:H34"/>
    <mergeCell ref="E35:F35"/>
    <mergeCell ref="G35:H35"/>
    <mergeCell ref="E42:F42"/>
    <mergeCell ref="G42:H42"/>
    <mergeCell ref="E43:F43"/>
    <mergeCell ref="G43:H43"/>
    <mergeCell ref="E44:F44"/>
    <mergeCell ref="G44:H44"/>
    <mergeCell ref="E39:F39"/>
    <mergeCell ref="G39:H39"/>
    <mergeCell ref="E40:F40"/>
    <mergeCell ref="G40:H40"/>
    <mergeCell ref="E41:F41"/>
    <mergeCell ref="G41:H41"/>
    <mergeCell ref="E48:F48"/>
    <mergeCell ref="G48:H48"/>
    <mergeCell ref="E49:F49"/>
    <mergeCell ref="G49:H49"/>
    <mergeCell ref="E50:F50"/>
    <mergeCell ref="G50:H50"/>
    <mergeCell ref="E45:F45"/>
    <mergeCell ref="G45:H45"/>
    <mergeCell ref="E46:F46"/>
    <mergeCell ref="G46:H46"/>
    <mergeCell ref="E47:F47"/>
    <mergeCell ref="G47:H47"/>
    <mergeCell ref="A64:J64"/>
    <mergeCell ref="C65:C67"/>
    <mergeCell ref="D65:D67"/>
    <mergeCell ref="E65:F65"/>
    <mergeCell ref="G65:H65"/>
    <mergeCell ref="I65:I67"/>
    <mergeCell ref="J65:J67"/>
    <mergeCell ref="E66:F66"/>
    <mergeCell ref="G66:H66"/>
    <mergeCell ref="E67:F67"/>
    <mergeCell ref="G67:H67"/>
    <mergeCell ref="C68:C74"/>
    <mergeCell ref="D68:D74"/>
    <mergeCell ref="E68:F68"/>
    <mergeCell ref="G68:H68"/>
    <mergeCell ref="I68:I74"/>
    <mergeCell ref="G73:H73"/>
    <mergeCell ref="E74:F74"/>
    <mergeCell ref="G74:H74"/>
    <mergeCell ref="J68:J74"/>
    <mergeCell ref="E69:F69"/>
    <mergeCell ref="G69:H69"/>
    <mergeCell ref="E70:F70"/>
    <mergeCell ref="G70:H70"/>
    <mergeCell ref="E71:F71"/>
    <mergeCell ref="G71:H71"/>
    <mergeCell ref="E72:F72"/>
    <mergeCell ref="G72:H72"/>
    <mergeCell ref="E73:F73"/>
    <mergeCell ref="I78:I87"/>
    <mergeCell ref="J78:J87"/>
    <mergeCell ref="E79:F79"/>
    <mergeCell ref="G79:H79"/>
    <mergeCell ref="E80:F80"/>
    <mergeCell ref="G80:H80"/>
    <mergeCell ref="C75:C77"/>
    <mergeCell ref="D75:D77"/>
    <mergeCell ref="E75:F75"/>
    <mergeCell ref="G75:H75"/>
    <mergeCell ref="I75:I77"/>
    <mergeCell ref="J75:J77"/>
    <mergeCell ref="E76:F76"/>
    <mergeCell ref="G76:H76"/>
    <mergeCell ref="E77:F77"/>
    <mergeCell ref="G77:H77"/>
    <mergeCell ref="E84:F84"/>
    <mergeCell ref="G84:H84"/>
    <mergeCell ref="E85:F85"/>
    <mergeCell ref="G85:H85"/>
    <mergeCell ref="E86:F86"/>
    <mergeCell ref="G86:H86"/>
    <mergeCell ref="E81:F81"/>
    <mergeCell ref="G81:H81"/>
    <mergeCell ref="E82:F82"/>
    <mergeCell ref="G82:H82"/>
    <mergeCell ref="E83:F83"/>
    <mergeCell ref="G83:H83"/>
    <mergeCell ref="E87:F87"/>
    <mergeCell ref="G87:H87"/>
    <mergeCell ref="C88:C97"/>
    <mergeCell ref="D88:D97"/>
    <mergeCell ref="E88:F88"/>
    <mergeCell ref="G88:H88"/>
    <mergeCell ref="E93:F93"/>
    <mergeCell ref="G93:H93"/>
    <mergeCell ref="E94:F94"/>
    <mergeCell ref="G94:H94"/>
    <mergeCell ref="C78:C87"/>
    <mergeCell ref="D78:D87"/>
    <mergeCell ref="E78:F78"/>
    <mergeCell ref="G78:H78"/>
    <mergeCell ref="I98:I107"/>
    <mergeCell ref="J98:J107"/>
    <mergeCell ref="E99:F99"/>
    <mergeCell ref="G99:H99"/>
    <mergeCell ref="E100:F100"/>
    <mergeCell ref="G100:H100"/>
    <mergeCell ref="E95:F95"/>
    <mergeCell ref="G95:H95"/>
    <mergeCell ref="E96:F96"/>
    <mergeCell ref="G96:H96"/>
    <mergeCell ref="E97:F97"/>
    <mergeCell ref="G97:H97"/>
    <mergeCell ref="I88:I97"/>
    <mergeCell ref="J88:J97"/>
    <mergeCell ref="E89:F89"/>
    <mergeCell ref="G89:H89"/>
    <mergeCell ref="E90:F90"/>
    <mergeCell ref="G90:H90"/>
    <mergeCell ref="E91:F91"/>
    <mergeCell ref="G91:H91"/>
    <mergeCell ref="E92:F92"/>
    <mergeCell ref="G92:H92"/>
    <mergeCell ref="E104:F104"/>
    <mergeCell ref="G104:H104"/>
    <mergeCell ref="E107:F107"/>
    <mergeCell ref="G107:H107"/>
    <mergeCell ref="C108:C117"/>
    <mergeCell ref="D108:D117"/>
    <mergeCell ref="E108:F108"/>
    <mergeCell ref="G108:H108"/>
    <mergeCell ref="E113:F113"/>
    <mergeCell ref="G113:H113"/>
    <mergeCell ref="E114:F114"/>
    <mergeCell ref="G114:H114"/>
    <mergeCell ref="C98:C107"/>
    <mergeCell ref="D98:D107"/>
    <mergeCell ref="E98:F98"/>
    <mergeCell ref="G98:H98"/>
    <mergeCell ref="E105:F105"/>
    <mergeCell ref="G105:H105"/>
    <mergeCell ref="E106:F106"/>
    <mergeCell ref="G106:H106"/>
    <mergeCell ref="E101:F101"/>
    <mergeCell ref="G101:H101"/>
    <mergeCell ref="E102:F102"/>
    <mergeCell ref="G102:H102"/>
    <mergeCell ref="E103:F103"/>
    <mergeCell ref="G103:H103"/>
    <mergeCell ref="I120:I129"/>
    <mergeCell ref="J120:J129"/>
    <mergeCell ref="E121:F121"/>
    <mergeCell ref="G121:H121"/>
    <mergeCell ref="E122:F122"/>
    <mergeCell ref="G122:H122"/>
    <mergeCell ref="E115:F115"/>
    <mergeCell ref="G115:H115"/>
    <mergeCell ref="E116:F116"/>
    <mergeCell ref="G116:H116"/>
    <mergeCell ref="E117:F117"/>
    <mergeCell ref="G117:H117"/>
    <mergeCell ref="I108:I117"/>
    <mergeCell ref="J108:J117"/>
    <mergeCell ref="E109:F109"/>
    <mergeCell ref="G109:H109"/>
    <mergeCell ref="E110:F110"/>
    <mergeCell ref="G110:H110"/>
    <mergeCell ref="E111:F111"/>
    <mergeCell ref="G111:H111"/>
    <mergeCell ref="E112:F112"/>
    <mergeCell ref="G112:H112"/>
    <mergeCell ref="E126:F126"/>
    <mergeCell ref="G126:H126"/>
    <mergeCell ref="E129:F129"/>
    <mergeCell ref="G129:H129"/>
    <mergeCell ref="C130:C139"/>
    <mergeCell ref="D130:D139"/>
    <mergeCell ref="E130:F130"/>
    <mergeCell ref="G130:H130"/>
    <mergeCell ref="E135:F135"/>
    <mergeCell ref="G135:H135"/>
    <mergeCell ref="E136:F136"/>
    <mergeCell ref="G136:H136"/>
    <mergeCell ref="C120:C129"/>
    <mergeCell ref="D120:D129"/>
    <mergeCell ref="E120:F120"/>
    <mergeCell ref="G120:H120"/>
    <mergeCell ref="E127:F127"/>
    <mergeCell ref="G127:H127"/>
    <mergeCell ref="E128:F128"/>
    <mergeCell ref="G128:H128"/>
    <mergeCell ref="E123:F123"/>
    <mergeCell ref="G123:H123"/>
    <mergeCell ref="E124:F124"/>
    <mergeCell ref="G124:H124"/>
    <mergeCell ref="E125:F125"/>
    <mergeCell ref="G125:H125"/>
    <mergeCell ref="I140:I149"/>
    <mergeCell ref="J140:J149"/>
    <mergeCell ref="E141:F141"/>
    <mergeCell ref="G141:H141"/>
    <mergeCell ref="E142:F142"/>
    <mergeCell ref="G142:H142"/>
    <mergeCell ref="E137:F137"/>
    <mergeCell ref="G137:H137"/>
    <mergeCell ref="E138:F138"/>
    <mergeCell ref="G138:H138"/>
    <mergeCell ref="E139:F139"/>
    <mergeCell ref="G139:H139"/>
    <mergeCell ref="I130:I139"/>
    <mergeCell ref="J130:J139"/>
    <mergeCell ref="E131:F131"/>
    <mergeCell ref="G131:H131"/>
    <mergeCell ref="E132:F132"/>
    <mergeCell ref="G132:H132"/>
    <mergeCell ref="E133:F133"/>
    <mergeCell ref="G133:H133"/>
    <mergeCell ref="E134:F134"/>
    <mergeCell ref="G134:H134"/>
    <mergeCell ref="E146:F146"/>
    <mergeCell ref="G146:H146"/>
    <mergeCell ref="E149:F149"/>
    <mergeCell ref="G149:H149"/>
    <mergeCell ref="C150:C159"/>
    <mergeCell ref="D150:D159"/>
    <mergeCell ref="E150:F150"/>
    <mergeCell ref="G150:H150"/>
    <mergeCell ref="E155:F155"/>
    <mergeCell ref="G155:H155"/>
    <mergeCell ref="E156:F156"/>
    <mergeCell ref="G156:H156"/>
    <mergeCell ref="C140:C149"/>
    <mergeCell ref="D140:D149"/>
    <mergeCell ref="E140:F140"/>
    <mergeCell ref="G140:H140"/>
    <mergeCell ref="E147:F147"/>
    <mergeCell ref="G147:H147"/>
    <mergeCell ref="E148:F148"/>
    <mergeCell ref="G148:H148"/>
    <mergeCell ref="E143:F143"/>
    <mergeCell ref="G143:H143"/>
    <mergeCell ref="E144:F144"/>
    <mergeCell ref="G144:H144"/>
    <mergeCell ref="E145:F145"/>
    <mergeCell ref="G145:H145"/>
    <mergeCell ref="I160:I169"/>
    <mergeCell ref="J160:J169"/>
    <mergeCell ref="E161:F161"/>
    <mergeCell ref="G161:H161"/>
    <mergeCell ref="E162:F162"/>
    <mergeCell ref="G162:H162"/>
    <mergeCell ref="E157:F157"/>
    <mergeCell ref="G157:H157"/>
    <mergeCell ref="E158:F158"/>
    <mergeCell ref="G158:H158"/>
    <mergeCell ref="E159:F159"/>
    <mergeCell ref="G159:H159"/>
    <mergeCell ref="I150:I159"/>
    <mergeCell ref="J150:J159"/>
    <mergeCell ref="E151:F151"/>
    <mergeCell ref="G151:H151"/>
    <mergeCell ref="E152:F152"/>
    <mergeCell ref="G152:H152"/>
    <mergeCell ref="E153:F153"/>
    <mergeCell ref="G153:H153"/>
    <mergeCell ref="E154:F154"/>
    <mergeCell ref="G154:H154"/>
    <mergeCell ref="E166:F166"/>
    <mergeCell ref="G166:H166"/>
    <mergeCell ref="E169:F169"/>
    <mergeCell ref="G169:H169"/>
    <mergeCell ref="C170:C179"/>
    <mergeCell ref="D170:D179"/>
    <mergeCell ref="E170:F170"/>
    <mergeCell ref="G170:H170"/>
    <mergeCell ref="E175:F175"/>
    <mergeCell ref="G175:H175"/>
    <mergeCell ref="E176:F176"/>
    <mergeCell ref="G176:H176"/>
    <mergeCell ref="C160:C169"/>
    <mergeCell ref="D160:D169"/>
    <mergeCell ref="E160:F160"/>
    <mergeCell ref="G160:H160"/>
    <mergeCell ref="E167:F167"/>
    <mergeCell ref="G167:H167"/>
    <mergeCell ref="E168:F168"/>
    <mergeCell ref="G168:H168"/>
    <mergeCell ref="E163:F163"/>
    <mergeCell ref="G163:H163"/>
    <mergeCell ref="E164:F164"/>
    <mergeCell ref="G164:H164"/>
    <mergeCell ref="E165:F165"/>
    <mergeCell ref="G165:H165"/>
    <mergeCell ref="I180:I189"/>
    <mergeCell ref="J180:J189"/>
    <mergeCell ref="E181:F181"/>
    <mergeCell ref="G181:H181"/>
    <mergeCell ref="E182:F182"/>
    <mergeCell ref="G182:H182"/>
    <mergeCell ref="E177:F177"/>
    <mergeCell ref="G177:H177"/>
    <mergeCell ref="E178:F178"/>
    <mergeCell ref="G178:H178"/>
    <mergeCell ref="E179:F179"/>
    <mergeCell ref="G179:H179"/>
    <mergeCell ref="I170:I179"/>
    <mergeCell ref="J170:J179"/>
    <mergeCell ref="E171:F171"/>
    <mergeCell ref="G171:H171"/>
    <mergeCell ref="E172:F172"/>
    <mergeCell ref="G172:H172"/>
    <mergeCell ref="E173:F173"/>
    <mergeCell ref="G173:H173"/>
    <mergeCell ref="E174:F174"/>
    <mergeCell ref="G174:H174"/>
    <mergeCell ref="E186:F186"/>
    <mergeCell ref="G186:H186"/>
    <mergeCell ref="E189:F189"/>
    <mergeCell ref="G189:H189"/>
    <mergeCell ref="C190:C199"/>
    <mergeCell ref="D190:D199"/>
    <mergeCell ref="E190:F190"/>
    <mergeCell ref="G190:H190"/>
    <mergeCell ref="E195:F195"/>
    <mergeCell ref="G195:H195"/>
    <mergeCell ref="E196:F196"/>
    <mergeCell ref="G196:H196"/>
    <mergeCell ref="C180:C189"/>
    <mergeCell ref="D180:D189"/>
    <mergeCell ref="E180:F180"/>
    <mergeCell ref="G180:H180"/>
    <mergeCell ref="E187:F187"/>
    <mergeCell ref="G187:H187"/>
    <mergeCell ref="E188:F188"/>
    <mergeCell ref="G188:H188"/>
    <mergeCell ref="E183:F183"/>
    <mergeCell ref="G183:H183"/>
    <mergeCell ref="E184:F184"/>
    <mergeCell ref="G184:H184"/>
    <mergeCell ref="E185:F185"/>
    <mergeCell ref="G185:H185"/>
    <mergeCell ref="E197:F197"/>
    <mergeCell ref="G197:H197"/>
    <mergeCell ref="E198:F198"/>
    <mergeCell ref="G198:H198"/>
    <mergeCell ref="E199:F199"/>
    <mergeCell ref="G199:H199"/>
    <mergeCell ref="I190:I199"/>
    <mergeCell ref="J190:J199"/>
    <mergeCell ref="E191:F191"/>
    <mergeCell ref="G191:H191"/>
    <mergeCell ref="E192:F192"/>
    <mergeCell ref="G192:H192"/>
    <mergeCell ref="E193:F193"/>
    <mergeCell ref="G193:H193"/>
    <mergeCell ref="E194:F194"/>
    <mergeCell ref="G194:H194"/>
    <mergeCell ref="E203:F203"/>
    <mergeCell ref="G203:H203"/>
    <mergeCell ref="E204:F204"/>
    <mergeCell ref="G204:H204"/>
    <mergeCell ref="E205:F205"/>
    <mergeCell ref="G205:H205"/>
    <mergeCell ref="I200:I209"/>
    <mergeCell ref="J200:J209"/>
    <mergeCell ref="E201:F201"/>
    <mergeCell ref="G201:H201"/>
    <mergeCell ref="E202:F202"/>
    <mergeCell ref="G202:H202"/>
    <mergeCell ref="E206:F206"/>
    <mergeCell ref="G206:H206"/>
    <mergeCell ref="E209:F209"/>
    <mergeCell ref="G209:H209"/>
    <mergeCell ref="C210:C219"/>
    <mergeCell ref="D210:D219"/>
    <mergeCell ref="E210:F210"/>
    <mergeCell ref="G210:H210"/>
    <mergeCell ref="E215:F215"/>
    <mergeCell ref="G215:H215"/>
    <mergeCell ref="E216:F216"/>
    <mergeCell ref="G216:H216"/>
    <mergeCell ref="C200:C209"/>
    <mergeCell ref="D200:D209"/>
    <mergeCell ref="E200:F200"/>
    <mergeCell ref="G200:H200"/>
    <mergeCell ref="E217:F217"/>
    <mergeCell ref="G217:H217"/>
    <mergeCell ref="E218:F218"/>
    <mergeCell ref="G218:H218"/>
    <mergeCell ref="E219:F219"/>
    <mergeCell ref="G219:H219"/>
    <mergeCell ref="E207:F207"/>
    <mergeCell ref="G207:H207"/>
    <mergeCell ref="E208:F208"/>
    <mergeCell ref="G208:H208"/>
    <mergeCell ref="I210:I219"/>
    <mergeCell ref="J210:J219"/>
    <mergeCell ref="E211:F211"/>
    <mergeCell ref="G211:H211"/>
    <mergeCell ref="E212:F212"/>
    <mergeCell ref="G212:H212"/>
    <mergeCell ref="E213:F213"/>
    <mergeCell ref="G213:H213"/>
    <mergeCell ref="E214:F214"/>
    <mergeCell ref="G214:H214"/>
    <mergeCell ref="G226:H226"/>
    <mergeCell ref="E227:F227"/>
    <mergeCell ref="G227:H227"/>
    <mergeCell ref="E228:F228"/>
    <mergeCell ref="G228:H228"/>
    <mergeCell ref="E223:F223"/>
    <mergeCell ref="G223:H223"/>
    <mergeCell ref="E224:F224"/>
    <mergeCell ref="G224:H224"/>
    <mergeCell ref="E225:F225"/>
    <mergeCell ref="G225:H225"/>
    <mergeCell ref="E229:F229"/>
    <mergeCell ref="G229:H229"/>
    <mergeCell ref="A265:J265"/>
    <mergeCell ref="C266:C268"/>
    <mergeCell ref="D266:D268"/>
    <mergeCell ref="E266:F266"/>
    <mergeCell ref="G266:H266"/>
    <mergeCell ref="I266:I268"/>
    <mergeCell ref="J266:J268"/>
    <mergeCell ref="E267:F267"/>
    <mergeCell ref="C220:C229"/>
    <mergeCell ref="D220:D229"/>
    <mergeCell ref="E220:F220"/>
    <mergeCell ref="G220:H220"/>
    <mergeCell ref="I220:I229"/>
    <mergeCell ref="J220:J229"/>
    <mergeCell ref="E221:F221"/>
    <mergeCell ref="G221:H221"/>
    <mergeCell ref="E222:F222"/>
    <mergeCell ref="G222:H222"/>
    <mergeCell ref="G267:H267"/>
    <mergeCell ref="E268:F268"/>
    <mergeCell ref="G268:H268"/>
    <mergeCell ref="E226:F226"/>
    <mergeCell ref="C269:C275"/>
    <mergeCell ref="D269:D275"/>
    <mergeCell ref="E269:F269"/>
    <mergeCell ref="G269:H269"/>
    <mergeCell ref="E274:F274"/>
    <mergeCell ref="G274:H274"/>
    <mergeCell ref="E275:F275"/>
    <mergeCell ref="G275:H275"/>
    <mergeCell ref="C278:C279"/>
    <mergeCell ref="D278:D279"/>
    <mergeCell ref="E278:F278"/>
    <mergeCell ref="G278:H278"/>
    <mergeCell ref="I278:I279"/>
    <mergeCell ref="I269:I275"/>
    <mergeCell ref="J269:J275"/>
    <mergeCell ref="E270:F270"/>
    <mergeCell ref="G270:H270"/>
    <mergeCell ref="E271:F271"/>
    <mergeCell ref="G271:H271"/>
    <mergeCell ref="E272:F272"/>
    <mergeCell ref="G272:H272"/>
    <mergeCell ref="E273:F273"/>
    <mergeCell ref="G273:H273"/>
    <mergeCell ref="J278:J279"/>
    <mergeCell ref="E279:F279"/>
    <mergeCell ref="G279:H279"/>
    <mergeCell ref="A296:J296"/>
    <mergeCell ref="C297:C299"/>
    <mergeCell ref="D297:D299"/>
    <mergeCell ref="E297:F297"/>
    <mergeCell ref="G297:H297"/>
    <mergeCell ref="I297:I299"/>
    <mergeCell ref="J297:J299"/>
    <mergeCell ref="E298:F298"/>
    <mergeCell ref="G298:H298"/>
    <mergeCell ref="E299:F299"/>
    <mergeCell ref="G299:H299"/>
    <mergeCell ref="J318:J320"/>
    <mergeCell ref="E319:F319"/>
    <mergeCell ref="E306:F306"/>
    <mergeCell ref="G306:H306"/>
    <mergeCell ref="I300:I306"/>
    <mergeCell ref="J300:J306"/>
    <mergeCell ref="E301:F301"/>
    <mergeCell ref="G301:H301"/>
    <mergeCell ref="E302:F302"/>
    <mergeCell ref="G302:H302"/>
    <mergeCell ref="E303:F303"/>
    <mergeCell ref="G303:H303"/>
    <mergeCell ref="E304:F304"/>
    <mergeCell ref="G304:H304"/>
    <mergeCell ref="G319:H319"/>
    <mergeCell ref="E320:F320"/>
    <mergeCell ref="G320:H320"/>
    <mergeCell ref="C321:C327"/>
    <mergeCell ref="D321:D327"/>
    <mergeCell ref="E321:F321"/>
    <mergeCell ref="G321:H321"/>
    <mergeCell ref="E326:F326"/>
    <mergeCell ref="G326:H326"/>
    <mergeCell ref="E327:F327"/>
    <mergeCell ref="C300:C306"/>
    <mergeCell ref="D300:D306"/>
    <mergeCell ref="E300:F300"/>
    <mergeCell ref="G300:H300"/>
    <mergeCell ref="E305:F305"/>
    <mergeCell ref="G305:H305"/>
    <mergeCell ref="A317:J317"/>
    <mergeCell ref="C318:C320"/>
    <mergeCell ref="D318:D320"/>
    <mergeCell ref="E318:F318"/>
    <mergeCell ref="G318:H318"/>
    <mergeCell ref="I318:I320"/>
    <mergeCell ref="J321:J327"/>
    <mergeCell ref="E322:F322"/>
    <mergeCell ref="G322:H322"/>
    <mergeCell ref="E323:F323"/>
    <mergeCell ref="G323:H323"/>
    <mergeCell ref="E324:F324"/>
    <mergeCell ref="G324:H324"/>
    <mergeCell ref="E325:F325"/>
    <mergeCell ref="G325:H325"/>
    <mergeCell ref="G327:H327"/>
    <mergeCell ref="I321:I327"/>
    <mergeCell ref="C328:C337"/>
    <mergeCell ref="D328:D337"/>
    <mergeCell ref="E328:F328"/>
    <mergeCell ref="G328:H328"/>
    <mergeCell ref="I328:I337"/>
    <mergeCell ref="G333:H333"/>
    <mergeCell ref="E334:F334"/>
    <mergeCell ref="G334:H334"/>
    <mergeCell ref="E335:F335"/>
    <mergeCell ref="J328:J337"/>
    <mergeCell ref="E329:F329"/>
    <mergeCell ref="G329:H329"/>
    <mergeCell ref="E330:F330"/>
    <mergeCell ref="G330:H330"/>
    <mergeCell ref="E331:F331"/>
    <mergeCell ref="G331:H331"/>
    <mergeCell ref="E332:F332"/>
    <mergeCell ref="G332:H332"/>
    <mergeCell ref="E333:F333"/>
    <mergeCell ref="G335:H335"/>
    <mergeCell ref="E336:F336"/>
    <mergeCell ref="G336:H336"/>
    <mergeCell ref="E337:F337"/>
    <mergeCell ref="G337:H337"/>
    <mergeCell ref="C338:C347"/>
    <mergeCell ref="D338:D347"/>
    <mergeCell ref="E338:F338"/>
    <mergeCell ref="G338:H338"/>
    <mergeCell ref="E343:F343"/>
    <mergeCell ref="I338:I347"/>
    <mergeCell ref="J338:J347"/>
    <mergeCell ref="E339:F339"/>
    <mergeCell ref="G339:H339"/>
    <mergeCell ref="E340:F340"/>
    <mergeCell ref="G340:H340"/>
    <mergeCell ref="E341:F341"/>
    <mergeCell ref="G341:H341"/>
    <mergeCell ref="E342:F342"/>
    <mergeCell ref="G342:H342"/>
    <mergeCell ref="E347:F347"/>
    <mergeCell ref="G347:H347"/>
    <mergeCell ref="G343:H343"/>
    <mergeCell ref="E344:F344"/>
    <mergeCell ref="G344:H344"/>
    <mergeCell ref="E345:F345"/>
    <mergeCell ref="G345:H345"/>
    <mergeCell ref="E346:F346"/>
    <mergeCell ref="G346:H346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scale="60" orientation="portrait" horizontalDpi="4294967292" verticalDpi="200" r:id="rId1"/>
  <headerFooter alignWithMargins="0">
    <oddFooter>&amp;C&amp;"Times New Roman,標準"&amp;P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6</vt:i4>
      </vt:variant>
    </vt:vector>
  </HeadingPairs>
  <TitlesOfParts>
    <vt:vector size="13" baseType="lpstr">
      <vt:lpstr>Cover</vt:lpstr>
      <vt:lpstr>Spec.</vt:lpstr>
      <vt:lpstr>Flow</vt:lpstr>
      <vt:lpstr>Common Adress</vt:lpstr>
      <vt:lpstr>Loader Adress</vt:lpstr>
      <vt:lpstr>Pickling Adress</vt:lpstr>
      <vt:lpstr>Unoader Adress</vt:lpstr>
      <vt:lpstr>Spec.!Print_Area</vt:lpstr>
      <vt:lpstr>'Common Adress'!Print_Titles</vt:lpstr>
      <vt:lpstr>'Loader Adress'!Print_Titles</vt:lpstr>
      <vt:lpstr>'Pickling Adress'!Print_Titles</vt:lpstr>
      <vt:lpstr>Spec.!Print_Titles</vt:lpstr>
      <vt:lpstr>'Unoader Adress'!Print_Titles</vt:lpstr>
    </vt:vector>
  </TitlesOfParts>
  <Company>SEEC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IISG1</dc:creator>
  <cp:lastModifiedBy>YH.CHIU 邱一軒</cp:lastModifiedBy>
  <cp:lastPrinted>2002-12-11T07:52:10Z</cp:lastPrinted>
  <dcterms:created xsi:type="dcterms:W3CDTF">1999-06-10T02:21:15Z</dcterms:created>
  <dcterms:modified xsi:type="dcterms:W3CDTF">2026-04-14T03:09:48Z</dcterms:modified>
</cp:coreProperties>
</file>