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D:\SourceCode\CS\EAPDashboard\doc\spec\"/>
    </mc:Choice>
  </mc:AlternateContent>
  <xr:revisionPtr revIDLastSave="0" documentId="13_ncr:1_{ACB8445F-564E-422D-B304-6A6D253AED64}" xr6:coauthVersionLast="36" xr6:coauthVersionMax="47" xr10:uidLastSave="{00000000-0000-0000-0000-000000000000}"/>
  <bookViews>
    <workbookView xWindow="0" yWindow="0" windowWidth="28800" windowHeight="14025" tabRatio="657" activeTab="1" xr2:uid="{8B304F86-AF06-4128-8601-D0756F6CB731}"/>
  </bookViews>
  <sheets>
    <sheet name="Cover" sheetId="1" r:id="rId1"/>
    <sheet name="Spec." sheetId="8" r:id="rId2"/>
    <sheet name="Flow" sheetId="34" r:id="rId3"/>
    <sheet name="Common Adress" sheetId="33" r:id="rId4"/>
    <sheet name="Loader Adress" sheetId="27" r:id="rId5"/>
    <sheet name="Pickling Adress" sheetId="31" r:id="rId6"/>
    <sheet name="Unoader Adress" sheetId="32" r:id="rId7"/>
  </sheets>
  <definedNames>
    <definedName name="_xlnm.Print_Area" localSheetId="1">Spec.!$A$1:$J$38</definedName>
    <definedName name="_xlnm.Print_Titles" localSheetId="3">'Common Adress'!$A:$I,'Common Adress'!$1:$5</definedName>
    <definedName name="_xlnm.Print_Titles" localSheetId="4">'Loader Adress'!$A:$I,'Loader Adress'!$1:$5</definedName>
    <definedName name="_xlnm.Print_Titles" localSheetId="5">'Pickling Adress'!$A:$I,'Pickling Adress'!$1:$5</definedName>
    <definedName name="_xlnm.Print_Titles" localSheetId="1">Spec.!$1:$5</definedName>
    <definedName name="_xlnm.Print_Titles" localSheetId="6">'Unoader Adress'!$A:$I,'Unoader Adress'!$1:$5</definedName>
  </definedNames>
  <calcPr calcId="191029"/>
</workbook>
</file>

<file path=xl/calcChain.xml><?xml version="1.0" encoding="utf-8"?>
<calcChain xmlns="http://schemas.openxmlformats.org/spreadsheetml/2006/main">
  <c r="A10" i="32" l="1"/>
  <c r="A10" i="31"/>
  <c r="A12" i="32"/>
  <c r="A11" i="32"/>
  <c r="A12" i="31"/>
  <c r="A11" i="31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D2" i="33"/>
  <c r="A12" i="27"/>
  <c r="A11" i="27"/>
  <c r="A357" i="32" l="1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9" i="32"/>
  <c r="A8" i="32"/>
  <c r="A7" i="32"/>
  <c r="D2" i="32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9" i="31"/>
  <c r="A8" i="31"/>
  <c r="A7" i="31"/>
  <c r="D2" i="31"/>
  <c r="A398" i="27"/>
  <c r="A397" i="27" l="1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0" i="27"/>
  <c r="A9" i="27"/>
  <c r="A8" i="27"/>
  <c r="A7" i="27"/>
  <c r="D2" i="27"/>
  <c r="D2" i="8"/>
  <c r="C4" i="8"/>
</calcChain>
</file>

<file path=xl/sharedStrings.xml><?xml version="1.0" encoding="utf-8"?>
<sst xmlns="http://schemas.openxmlformats.org/spreadsheetml/2006/main" count="2402" uniqueCount="266">
  <si>
    <t>Spare</t>
    <phoneticPr fontId="2" type="noConversion"/>
  </si>
  <si>
    <t>Cassette ID</t>
    <phoneticPr fontId="2" type="noConversion"/>
  </si>
  <si>
    <t>0000</t>
    <phoneticPr fontId="2" type="noConversion"/>
  </si>
  <si>
    <t>(binary)</t>
  </si>
  <si>
    <t>Name            Designation</t>
    <phoneticPr fontId="2" type="noConversion"/>
  </si>
  <si>
    <t>Description</t>
    <phoneticPr fontId="2" type="noConversion"/>
  </si>
  <si>
    <t>Annotation</t>
    <phoneticPr fontId="2" type="noConversion"/>
  </si>
  <si>
    <t>CIM Equipment spec</t>
  </si>
  <si>
    <t>SUBJECT</t>
  </si>
  <si>
    <t>Doc. No. :</t>
  </si>
  <si>
    <t>Equipment</t>
  </si>
  <si>
    <t>10th Char</t>
    <phoneticPr fontId="2" type="noConversion"/>
  </si>
  <si>
    <t>9th Char</t>
    <phoneticPr fontId="2" type="noConversion"/>
  </si>
  <si>
    <t>12th Char</t>
    <phoneticPr fontId="2" type="noConversion"/>
  </si>
  <si>
    <t>11th Char</t>
    <phoneticPr fontId="2" type="noConversion"/>
  </si>
  <si>
    <t>Unloader</t>
    <phoneticPr fontId="2" type="noConversion"/>
  </si>
  <si>
    <t>14th Char</t>
    <phoneticPr fontId="2" type="noConversion"/>
  </si>
  <si>
    <t>13th Char</t>
    <phoneticPr fontId="2" type="noConversion"/>
  </si>
  <si>
    <t>16th Char</t>
    <phoneticPr fontId="2" type="noConversion"/>
  </si>
  <si>
    <t>15th Char</t>
    <phoneticPr fontId="2" type="noConversion"/>
  </si>
  <si>
    <t>18th Char</t>
    <phoneticPr fontId="2" type="noConversion"/>
  </si>
  <si>
    <t>17th Char</t>
    <phoneticPr fontId="2" type="noConversion"/>
  </si>
  <si>
    <t>20th Char</t>
    <phoneticPr fontId="2" type="noConversion"/>
  </si>
  <si>
    <t>19th Char</t>
    <phoneticPr fontId="2" type="noConversion"/>
  </si>
  <si>
    <t>CIM Equipment spec.</t>
    <phoneticPr fontId="2" type="noConversion"/>
  </si>
  <si>
    <t>2nd Char</t>
  </si>
  <si>
    <t>4th Char</t>
  </si>
  <si>
    <t>3rd Char</t>
  </si>
  <si>
    <t>6th Char</t>
  </si>
  <si>
    <t>5th Char</t>
  </si>
  <si>
    <t>8th Char</t>
  </si>
  <si>
    <t>7th Char</t>
  </si>
  <si>
    <r>
      <t>編號</t>
    </r>
    <r>
      <rPr>
        <sz val="12"/>
        <rFont val="Arial"/>
        <family val="2"/>
      </rPr>
      <t xml:space="preserve">
No</t>
    </r>
    <phoneticPr fontId="2" type="noConversion"/>
  </si>
  <si>
    <r>
      <t>版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本</t>
    </r>
    <r>
      <rPr>
        <sz val="12"/>
        <rFont val="Arial"/>
        <family val="2"/>
      </rPr>
      <t xml:space="preserve">
Version </t>
    </r>
    <phoneticPr fontId="2" type="noConversion"/>
  </si>
  <si>
    <r>
      <t>內</t>
    </r>
    <r>
      <rPr>
        <sz val="12"/>
        <rFont val="Arial"/>
        <family val="2"/>
      </rPr>
      <t xml:space="preserve">      </t>
    </r>
    <r>
      <rPr>
        <sz val="12"/>
        <rFont val="標楷體"/>
        <family val="4"/>
        <charset val="136"/>
      </rPr>
      <t>容</t>
    </r>
    <r>
      <rPr>
        <sz val="12"/>
        <rFont val="Arial"/>
        <family val="2"/>
      </rPr>
      <t xml:space="preserve">
Content</t>
    </r>
    <phoneticPr fontId="2" type="noConversion"/>
  </si>
  <si>
    <r>
      <t xml:space="preserve">日期
</t>
    </r>
    <r>
      <rPr>
        <sz val="12"/>
        <rFont val="Arial"/>
        <family val="2"/>
      </rPr>
      <t>Date</t>
    </r>
    <phoneticPr fontId="2" type="noConversion"/>
  </si>
  <si>
    <r>
      <t>備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註</t>
    </r>
    <r>
      <rPr>
        <sz val="12"/>
        <rFont val="Arial"/>
        <family val="2"/>
      </rPr>
      <t xml:space="preserve">
Remark</t>
    </r>
    <phoneticPr fontId="2" type="noConversion"/>
  </si>
  <si>
    <t>1.0</t>
    <phoneticPr fontId="2" type="noConversion"/>
  </si>
  <si>
    <t>uuuu</t>
    <phoneticPr fontId="2" type="noConversion"/>
  </si>
  <si>
    <r>
      <t xml:space="preserve">CIM </t>
    </r>
    <r>
      <rPr>
        <sz val="12"/>
        <rFont val="標楷體"/>
        <family val="4"/>
        <charset val="136"/>
      </rPr>
      <t>設備規範書</t>
    </r>
  </si>
  <si>
    <t>Equipment CIM Data Mapping</t>
    <phoneticPr fontId="2" type="noConversion"/>
  </si>
  <si>
    <t>Doc. No. :</t>
    <phoneticPr fontId="2" type="noConversion"/>
  </si>
  <si>
    <t>Equipment Report Data</t>
    <phoneticPr fontId="2" type="noConversion"/>
  </si>
  <si>
    <r>
      <t xml:space="preserve"> </t>
    </r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 xml:space="preserve">Network  Parameter </t>
    </r>
    <r>
      <rPr>
        <sz val="12"/>
        <rFont val="細明體"/>
        <family val="3"/>
        <charset val="136"/>
      </rPr>
      <t>）</t>
    </r>
    <phoneticPr fontId="2" type="noConversion"/>
  </si>
  <si>
    <t>Points</t>
    <phoneticPr fontId="7" type="noConversion"/>
  </si>
  <si>
    <t>Begin</t>
    <phoneticPr fontId="2" type="noConversion"/>
  </si>
  <si>
    <t>End</t>
    <phoneticPr fontId="2" type="noConversion"/>
  </si>
  <si>
    <t>Loader</t>
    <phoneticPr fontId="2" type="noConversion"/>
  </si>
  <si>
    <t>(binary)</t>
    <phoneticPr fontId="2" type="noConversion"/>
  </si>
  <si>
    <t>DM10000</t>
    <phoneticPr fontId="2" type="noConversion"/>
  </si>
  <si>
    <t>Equipment Data Mapping</t>
    <phoneticPr fontId="2" type="noConversion"/>
  </si>
  <si>
    <t>Equipment Event Request</t>
    <phoneticPr fontId="6"/>
  </si>
  <si>
    <t xml:space="preserve">   Format(F-&gt;0)</t>
    <phoneticPr fontId="2" type="noConversion"/>
  </si>
  <si>
    <t>Permission</t>
    <phoneticPr fontId="2" type="noConversion"/>
  </si>
  <si>
    <t>dcba</t>
    <phoneticPr fontId="2" type="noConversion"/>
  </si>
  <si>
    <t>EAP Event Ack</t>
    <phoneticPr fontId="2" type="noConversion"/>
  </si>
  <si>
    <t>EAP CMD Request</t>
    <phoneticPr fontId="2" type="noConversion"/>
  </si>
  <si>
    <t>Equipment CMD Ack</t>
    <phoneticPr fontId="2" type="noConversion"/>
  </si>
  <si>
    <t>EQ-&gt;EAP</t>
  </si>
  <si>
    <t>Machine</t>
    <phoneticPr fontId="2" type="noConversion"/>
  </si>
  <si>
    <t>Machine ID</t>
    <phoneticPr fontId="2" type="noConversion"/>
  </si>
  <si>
    <t>DATE</t>
  </si>
  <si>
    <t>yyyyMMddHHmmss</t>
    <phoneticPr fontId="2" type="noConversion"/>
  </si>
  <si>
    <t>String (7) ASCII</t>
    <phoneticPr fontId="2" type="noConversion"/>
  </si>
  <si>
    <t>String (10) ASCII</t>
    <phoneticPr fontId="2" type="noConversion"/>
  </si>
  <si>
    <t>1st Char</t>
    <phoneticPr fontId="2" type="noConversion"/>
  </si>
  <si>
    <t>y(1st Char)</t>
    <phoneticPr fontId="6"/>
  </si>
  <si>
    <t>y(2st Char)</t>
    <phoneticPr fontId="2" type="noConversion"/>
  </si>
  <si>
    <t>y(3st Char)</t>
    <phoneticPr fontId="6"/>
  </si>
  <si>
    <t>y(4st Char)</t>
    <phoneticPr fontId="2" type="noConversion"/>
  </si>
  <si>
    <t>M(1st Char)</t>
    <phoneticPr fontId="6"/>
  </si>
  <si>
    <t>M(2st Char)</t>
    <phoneticPr fontId="2" type="noConversion"/>
  </si>
  <si>
    <t>d(1st Char)</t>
    <phoneticPr fontId="6"/>
  </si>
  <si>
    <t>d(2st Char)</t>
    <phoneticPr fontId="2" type="noConversion"/>
  </si>
  <si>
    <t>H(1st Char)</t>
    <phoneticPr fontId="6"/>
  </si>
  <si>
    <t>m(1st Char)</t>
    <phoneticPr fontId="6"/>
  </si>
  <si>
    <t>s(1st Char)</t>
    <phoneticPr fontId="6"/>
  </si>
  <si>
    <t>H(2st Char)</t>
    <phoneticPr fontId="2" type="noConversion"/>
  </si>
  <si>
    <t>m(2st Char)</t>
    <phoneticPr fontId="2" type="noConversion"/>
  </si>
  <si>
    <t>s(2st Char)</t>
    <phoneticPr fontId="2" type="noConversion"/>
  </si>
  <si>
    <t>UserID</t>
    <phoneticPr fontId="2" type="noConversion"/>
  </si>
  <si>
    <t>EQ-&gt;EAP</t>
    <phoneticPr fontId="2" type="noConversion"/>
  </si>
  <si>
    <t>String (3) ASCII</t>
    <phoneticPr fontId="2" type="noConversion"/>
  </si>
  <si>
    <t>User ID</t>
    <phoneticPr fontId="2" type="noConversion"/>
  </si>
  <si>
    <t>Barcode</t>
    <phoneticPr fontId="2" type="noConversion"/>
  </si>
  <si>
    <t>String (24) ASCII</t>
    <phoneticPr fontId="2" type="noConversion"/>
  </si>
  <si>
    <t>22nd Char</t>
    <phoneticPr fontId="2" type="noConversion"/>
  </si>
  <si>
    <t>24th Char</t>
    <phoneticPr fontId="2" type="noConversion"/>
  </si>
  <si>
    <t>26th Char</t>
    <phoneticPr fontId="2" type="noConversion"/>
  </si>
  <si>
    <t>28th Char</t>
    <phoneticPr fontId="2" type="noConversion"/>
  </si>
  <si>
    <t>30th Char</t>
    <phoneticPr fontId="2" type="noConversion"/>
  </si>
  <si>
    <t>32th Char</t>
    <phoneticPr fontId="2" type="noConversion"/>
  </si>
  <si>
    <t>34th Char</t>
    <phoneticPr fontId="2" type="noConversion"/>
  </si>
  <si>
    <t>36th Char</t>
    <phoneticPr fontId="2" type="noConversion"/>
  </si>
  <si>
    <t>38th Char</t>
    <phoneticPr fontId="2" type="noConversion"/>
  </si>
  <si>
    <t>40th Char</t>
    <phoneticPr fontId="2" type="noConversion"/>
  </si>
  <si>
    <t>42th Char</t>
    <phoneticPr fontId="2" type="noConversion"/>
  </si>
  <si>
    <t>44th Char</t>
    <phoneticPr fontId="2" type="noConversion"/>
  </si>
  <si>
    <t>46th Char</t>
    <phoneticPr fontId="2" type="noConversion"/>
  </si>
  <si>
    <t>48th Char</t>
    <phoneticPr fontId="2" type="noConversion"/>
  </si>
  <si>
    <t>21st Char</t>
    <phoneticPr fontId="2" type="noConversion"/>
  </si>
  <si>
    <t>23rd Char</t>
    <phoneticPr fontId="2" type="noConversion"/>
  </si>
  <si>
    <t>25th Char</t>
    <phoneticPr fontId="2" type="noConversion"/>
  </si>
  <si>
    <t>27th Char</t>
    <phoneticPr fontId="2" type="noConversion"/>
  </si>
  <si>
    <t>29th Char</t>
    <phoneticPr fontId="2" type="noConversion"/>
  </si>
  <si>
    <t>31th Char</t>
    <phoneticPr fontId="2" type="noConversion"/>
  </si>
  <si>
    <t>33th Char</t>
    <phoneticPr fontId="2" type="noConversion"/>
  </si>
  <si>
    <t>35th Char</t>
    <phoneticPr fontId="2" type="noConversion"/>
  </si>
  <si>
    <t>37th Char</t>
    <phoneticPr fontId="2" type="noConversion"/>
  </si>
  <si>
    <t>39th Char</t>
    <phoneticPr fontId="2" type="noConversion"/>
  </si>
  <si>
    <t>41th Char</t>
    <phoneticPr fontId="2" type="noConversion"/>
  </si>
  <si>
    <t>43th Char</t>
    <phoneticPr fontId="2" type="noConversion"/>
  </si>
  <si>
    <t>45th Char</t>
    <phoneticPr fontId="2" type="noConversion"/>
  </si>
  <si>
    <t>47th Char</t>
    <phoneticPr fontId="2" type="noConversion"/>
  </si>
  <si>
    <t>RtnResult</t>
    <phoneticPr fontId="2" type="noConversion"/>
  </si>
  <si>
    <t>00ba</t>
    <phoneticPr fontId="2" type="noConversion"/>
  </si>
  <si>
    <t>EAP-&gt;EQ</t>
    <phoneticPr fontId="2" type="noConversion"/>
  </si>
  <si>
    <r>
      <t>[</t>
    </r>
    <r>
      <rPr>
        <sz val="12"/>
        <rFont val="微軟正黑體"/>
        <family val="2"/>
        <charset val="136"/>
      </rPr>
      <t>工單進站</t>
    </r>
    <r>
      <rPr>
        <sz val="12"/>
        <rFont val="Arial"/>
        <family val="2"/>
      </rPr>
      <t xml:space="preserve"> : TrackInReq ]</t>
    </r>
    <phoneticPr fontId="2" type="noConversion"/>
  </si>
  <si>
    <r>
      <t>[</t>
    </r>
    <r>
      <rPr>
        <sz val="12"/>
        <rFont val="微軟正黑體"/>
        <family val="2"/>
        <charset val="136"/>
      </rPr>
      <t>人員登入驗證</t>
    </r>
    <r>
      <rPr>
        <sz val="12"/>
        <rFont val="Arial"/>
        <family val="2"/>
      </rPr>
      <t xml:space="preserve"> : UserID_Verify Area]</t>
    </r>
    <phoneticPr fontId="2" type="noConversion"/>
  </si>
  <si>
    <t>MaterialID</t>
    <phoneticPr fontId="2" type="noConversion"/>
  </si>
  <si>
    <t>Material ID</t>
    <phoneticPr fontId="2" type="noConversion"/>
  </si>
  <si>
    <t>CassetteID</t>
    <phoneticPr fontId="2" type="noConversion"/>
  </si>
  <si>
    <t>WorkOrder</t>
    <phoneticPr fontId="2" type="noConversion"/>
  </si>
  <si>
    <t>Work Order Number</t>
    <phoneticPr fontId="2" type="noConversion"/>
  </si>
  <si>
    <t>ToolingID</t>
    <phoneticPr fontId="2" type="noConversion"/>
  </si>
  <si>
    <t>Tooling ID</t>
    <phoneticPr fontId="2" type="noConversion"/>
  </si>
  <si>
    <t>Qty</t>
    <phoneticPr fontId="2" type="noConversion"/>
  </si>
  <si>
    <t>Quantity</t>
    <phoneticPr fontId="2" type="noConversion"/>
  </si>
  <si>
    <t>UINT(0~65535)</t>
    <phoneticPr fontId="2" type="noConversion"/>
  </si>
  <si>
    <t>PanelList[0]</t>
    <phoneticPr fontId="2" type="noConversion"/>
  </si>
  <si>
    <t>Panel List [0]</t>
    <phoneticPr fontId="2" type="noConversion"/>
  </si>
  <si>
    <t>PanelList[1]</t>
    <phoneticPr fontId="2" type="noConversion"/>
  </si>
  <si>
    <t>Panel List [1]</t>
    <phoneticPr fontId="2" type="noConversion"/>
  </si>
  <si>
    <t>PanelList[2]</t>
    <phoneticPr fontId="2" type="noConversion"/>
  </si>
  <si>
    <t>Panel List [2]</t>
    <phoneticPr fontId="2" type="noConversion"/>
  </si>
  <si>
    <t>PanelList[3]</t>
    <phoneticPr fontId="2" type="noConversion"/>
  </si>
  <si>
    <t>Panel List [3]</t>
    <phoneticPr fontId="2" type="noConversion"/>
  </si>
  <si>
    <t>PanelList[4]</t>
  </si>
  <si>
    <t>Panel List [4]</t>
  </si>
  <si>
    <t>PanelList[5]</t>
  </si>
  <si>
    <t>Panel List [5]</t>
  </si>
  <si>
    <t>PanelList[6]</t>
  </si>
  <si>
    <t>Panel List [6]</t>
  </si>
  <si>
    <t>PanelList[7]</t>
  </si>
  <si>
    <t>Panel List [7]</t>
  </si>
  <si>
    <t>PanelList[8]</t>
  </si>
  <si>
    <t>Panel List [8]</t>
  </si>
  <si>
    <t>PanelList[9]</t>
  </si>
  <si>
    <t>Panel List [9]</t>
  </si>
  <si>
    <r>
      <t>[</t>
    </r>
    <r>
      <rPr>
        <sz val="12"/>
        <rFont val="微軟正黑體"/>
        <family val="2"/>
        <charset val="136"/>
      </rPr>
      <t>工單出站</t>
    </r>
    <r>
      <rPr>
        <sz val="12"/>
        <rFont val="Arial"/>
        <family val="2"/>
      </rPr>
      <t xml:space="preserve"> : TrackOutReq]</t>
    </r>
    <phoneticPr fontId="2" type="noConversion"/>
  </si>
  <si>
    <t>Result</t>
    <phoneticPr fontId="2" type="noConversion"/>
  </si>
  <si>
    <t>NGCode</t>
    <phoneticPr fontId="2" type="noConversion"/>
  </si>
  <si>
    <t>NG Reason Code</t>
    <phoneticPr fontId="2" type="noConversion"/>
  </si>
  <si>
    <r>
      <t>[</t>
    </r>
    <r>
      <rPr>
        <sz val="12"/>
        <rFont val="微軟正黑體"/>
        <family val="2"/>
        <charset val="136"/>
      </rPr>
      <t>警報上報</t>
    </r>
    <r>
      <rPr>
        <sz val="12"/>
        <rFont val="Arial"/>
        <family val="2"/>
      </rPr>
      <t xml:space="preserve"> : AlarmReport]</t>
    </r>
    <phoneticPr fontId="2" type="noConversion"/>
  </si>
  <si>
    <t>AlarmStatus</t>
    <phoneticPr fontId="2" type="noConversion"/>
  </si>
  <si>
    <t>AlarmType</t>
    <phoneticPr fontId="2" type="noConversion"/>
  </si>
  <si>
    <t>INT(1)</t>
    <phoneticPr fontId="2" type="noConversion"/>
  </si>
  <si>
    <t>1 : S / 2 : E</t>
    <phoneticPr fontId="2" type="noConversion"/>
  </si>
  <si>
    <t>1 : Alarm / 2 :Warning</t>
    <phoneticPr fontId="2" type="noConversion"/>
  </si>
  <si>
    <t>1 : PASS / 2 :FAIL</t>
    <phoneticPr fontId="2" type="noConversion"/>
  </si>
  <si>
    <t>AlarmCode</t>
    <phoneticPr fontId="2" type="noConversion"/>
  </si>
  <si>
    <t>Alarm Code</t>
    <phoneticPr fontId="2" type="noConversion"/>
  </si>
  <si>
    <t>String (2) ASCII</t>
    <phoneticPr fontId="2" type="noConversion"/>
  </si>
  <si>
    <r>
      <t>[</t>
    </r>
    <r>
      <rPr>
        <sz val="12"/>
        <rFont val="微軟正黑體"/>
        <family val="2"/>
        <charset val="136"/>
      </rPr>
      <t>狀態變更 :</t>
    </r>
    <r>
      <rPr>
        <sz val="12"/>
        <rFont val="Arial"/>
        <family val="2"/>
      </rPr>
      <t xml:space="preserve"> StatusChange]</t>
    </r>
    <phoneticPr fontId="2" type="noConversion"/>
  </si>
  <si>
    <t>OldStatus</t>
    <phoneticPr fontId="2" type="noConversion"/>
  </si>
  <si>
    <t>Old Status</t>
    <phoneticPr fontId="2" type="noConversion"/>
  </si>
  <si>
    <t>INT(1) 0~10</t>
    <phoneticPr fontId="2" type="noConversion"/>
  </si>
  <si>
    <t>NewStatus</t>
    <phoneticPr fontId="2" type="noConversion"/>
  </si>
  <si>
    <t>New Status</t>
    <phoneticPr fontId="2" type="noConversion"/>
  </si>
  <si>
    <r>
      <t>[</t>
    </r>
    <r>
      <rPr>
        <sz val="12"/>
        <rFont val="微軟正黑體"/>
        <family val="2"/>
        <charset val="136"/>
      </rPr>
      <t>載板入料</t>
    </r>
    <r>
      <rPr>
        <sz val="12"/>
        <rFont val="Arial"/>
        <family val="2"/>
      </rPr>
      <t xml:space="preserve"> : Panel In]</t>
    </r>
    <phoneticPr fontId="2" type="noConversion"/>
  </si>
  <si>
    <t xml:space="preserve">	PanelID</t>
    <phoneticPr fontId="2" type="noConversion"/>
  </si>
  <si>
    <t xml:space="preserve">	Panel ID</t>
    <phoneticPr fontId="2" type="noConversion"/>
  </si>
  <si>
    <t xml:space="preserve">	SlotNo</t>
    <phoneticPr fontId="2" type="noConversion"/>
  </si>
  <si>
    <t>UINT(1) 1~65535</t>
    <phoneticPr fontId="2" type="noConversion"/>
  </si>
  <si>
    <t>Slot Number(Calculations begin at the bottom)</t>
    <phoneticPr fontId="2" type="noConversion"/>
  </si>
  <si>
    <r>
      <t>[</t>
    </r>
    <r>
      <rPr>
        <sz val="12"/>
        <rFont val="微軟正黑體"/>
        <family val="2"/>
        <charset val="136"/>
      </rPr>
      <t>載板出料</t>
    </r>
    <r>
      <rPr>
        <sz val="12"/>
        <rFont val="Arial"/>
        <family val="2"/>
      </rPr>
      <t xml:space="preserve"> : Panel Out]</t>
    </r>
    <phoneticPr fontId="2" type="noConversion"/>
  </si>
  <si>
    <t>p000</t>
    <phoneticPr fontId="2" type="noConversion"/>
  </si>
  <si>
    <r>
      <t>[</t>
    </r>
    <r>
      <rPr>
        <sz val="12"/>
        <rFont val="微軟正黑體"/>
        <family val="2"/>
        <charset val="136"/>
      </rPr>
      <t>遠端指令</t>
    </r>
    <r>
      <rPr>
        <sz val="12"/>
        <rFont val="Arial"/>
        <family val="2"/>
      </rPr>
      <t>PP_Select</t>
    </r>
    <r>
      <rPr>
        <sz val="12"/>
        <rFont val="微軟正黑體"/>
        <family val="2"/>
        <charset val="136"/>
      </rPr>
      <t xml:space="preserve"> : </t>
    </r>
    <r>
      <rPr>
        <sz val="12"/>
        <rFont val="Arial"/>
        <family val="2"/>
      </rPr>
      <t>RemoteCMD PP_Select]</t>
    </r>
    <phoneticPr fontId="2" type="noConversion"/>
  </si>
  <si>
    <t>001</t>
    <phoneticPr fontId="2" type="noConversion"/>
  </si>
  <si>
    <t>002</t>
  </si>
  <si>
    <t>003</t>
  </si>
  <si>
    <t>000</t>
    <phoneticPr fontId="2" type="noConversion"/>
  </si>
  <si>
    <t>Cyntec Co., Ltd.</t>
    <phoneticPr fontId="2" type="noConversion"/>
  </si>
  <si>
    <t>乾 科 技 股 份 有 限 公 司</t>
    <phoneticPr fontId="2" type="noConversion"/>
  </si>
  <si>
    <t>04/7/26</t>
    <phoneticPr fontId="2" type="noConversion"/>
  </si>
  <si>
    <t>Data Concentrator</t>
    <phoneticPr fontId="2" type="noConversion"/>
  </si>
  <si>
    <r>
      <rPr>
        <sz val="12"/>
        <rFont val="微軟正黑體"/>
        <family val="2"/>
        <charset val="136"/>
      </rPr>
      <t>【</t>
    </r>
    <r>
      <rPr>
        <sz val="12"/>
        <rFont val="Arial"/>
        <family val="2"/>
      </rPr>
      <t>Loader</t>
    </r>
    <r>
      <rPr>
        <sz val="12"/>
        <rFont val="微軟正黑體"/>
        <family val="2"/>
        <charset val="136"/>
      </rPr>
      <t>】</t>
    </r>
    <phoneticPr fontId="2" type="noConversion"/>
  </si>
  <si>
    <t>PLC Area</t>
    <phoneticPr fontId="7" type="noConversion"/>
  </si>
  <si>
    <t>Data</t>
    <phoneticPr fontId="2" type="noConversion"/>
  </si>
  <si>
    <t>PLC Address</t>
    <phoneticPr fontId="2" type="noConversion"/>
  </si>
  <si>
    <t>PLC Start Adress</t>
    <phoneticPr fontId="2" type="noConversion"/>
  </si>
  <si>
    <t>RtnCode</t>
    <phoneticPr fontId="2" type="noConversion"/>
  </si>
  <si>
    <r>
      <t>[</t>
    </r>
    <r>
      <rPr>
        <sz val="12"/>
        <rFont val="Microsoft JhengHei"/>
        <family val="2"/>
      </rPr>
      <t xml:space="preserve">觸發訊號 : </t>
    </r>
    <r>
      <rPr>
        <sz val="12"/>
        <rFont val="Arial"/>
        <family val="2"/>
      </rPr>
      <t>Request and Ack]</t>
    </r>
    <phoneticPr fontId="2" type="noConversion"/>
  </si>
  <si>
    <t>000a</t>
    <phoneticPr fontId="2" type="noConversion"/>
  </si>
  <si>
    <t>a : RemoteCMD (PP_SELECT)</t>
    <phoneticPr fontId="2" type="noConversion"/>
  </si>
  <si>
    <t>hhhh</t>
    <phoneticPr fontId="2" type="noConversion"/>
  </si>
  <si>
    <t>PASS :  0 / FAIL : 1~99</t>
    <phoneticPr fontId="2" type="noConversion"/>
  </si>
  <si>
    <t>INT(2)</t>
    <phoneticPr fontId="2" type="noConversion"/>
  </si>
  <si>
    <t>000e</t>
    <phoneticPr fontId="2" type="noConversion"/>
  </si>
  <si>
    <t xml:space="preserve">a :  UserID_Verify
b : TrackInReq 
c :  AlarmReport 
d : StatusChangeReport 
e : PanelInReport </t>
    <phoneticPr fontId="6"/>
  </si>
  <si>
    <t xml:space="preserve">a :  AlarmReport 
b : StatusChangeReport </t>
    <phoneticPr fontId="6"/>
  </si>
  <si>
    <t>a :  UserID_Verify
b : TrackOutReq 
c :  AlarmReport 
d : StatusChangeReport 
e : PanelOutReport</t>
    <phoneticPr fontId="6"/>
  </si>
  <si>
    <t>1.1</t>
    <phoneticPr fontId="2" type="noConversion"/>
  </si>
  <si>
    <t>Update</t>
    <phoneticPr fontId="2" type="noConversion"/>
  </si>
  <si>
    <t>04/8/26</t>
    <phoneticPr fontId="2" type="noConversion"/>
  </si>
  <si>
    <t>004</t>
  </si>
  <si>
    <t>AliveCheck (EQ Startup)</t>
    <phoneticPr fontId="2" type="noConversion"/>
  </si>
  <si>
    <t xml:space="preserve">a :  UserID_Verify
b : TrackInReq 
c :  AlarmReport 
d : StatusChangeReport 
e : PanelInReport 
</t>
    <phoneticPr fontId="6"/>
  </si>
  <si>
    <r>
      <t>a : AliveCheck (EQ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</si>
  <si>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005</t>
  </si>
  <si>
    <t>AliveCheck (EAP StartUp)</t>
    <phoneticPr fontId="2" type="noConversion"/>
  </si>
  <si>
    <r>
      <t>a : AliveCheck (EAP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</si>
  <si>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RecipeID_Loader</t>
    <phoneticPr fontId="2" type="noConversion"/>
  </si>
  <si>
    <t>RecipeID_Development</t>
    <phoneticPr fontId="2" type="noConversion"/>
  </si>
  <si>
    <t>RecipeID_Unloader</t>
    <phoneticPr fontId="2" type="noConversion"/>
  </si>
  <si>
    <t>RecipeID for Loader</t>
    <phoneticPr fontId="2" type="noConversion"/>
  </si>
  <si>
    <t>RecipeID for Development</t>
    <phoneticPr fontId="2" type="noConversion"/>
  </si>
  <si>
    <t>RecipeID for Unloader</t>
    <phoneticPr fontId="2" type="noConversion"/>
  </si>
  <si>
    <t>L-&gt;L</t>
    <phoneticPr fontId="2" type="noConversion"/>
  </si>
  <si>
    <t>L-&gt;D</t>
    <phoneticPr fontId="2" type="noConversion"/>
  </si>
  <si>
    <t>L-&gt;UL</t>
    <phoneticPr fontId="2" type="noConversion"/>
  </si>
  <si>
    <t>WorkOrder_1</t>
    <phoneticPr fontId="2" type="noConversion"/>
  </si>
  <si>
    <t>Common</t>
    <phoneticPr fontId="2" type="noConversion"/>
  </si>
  <si>
    <t>Work Order 1 Number</t>
    <phoneticPr fontId="2" type="noConversion"/>
  </si>
  <si>
    <t>RecipeID Change for Loader</t>
    <phoneticPr fontId="2" type="noConversion"/>
  </si>
  <si>
    <t>RecipeID Change for Unloader</t>
    <phoneticPr fontId="2" type="noConversion"/>
  </si>
  <si>
    <t>WorkOrder_2</t>
    <phoneticPr fontId="2" type="noConversion"/>
  </si>
  <si>
    <t>Work Order 2 Number</t>
    <phoneticPr fontId="2" type="noConversion"/>
  </si>
  <si>
    <t>WorkOrder_3</t>
    <phoneticPr fontId="2" type="noConversion"/>
  </si>
  <si>
    <t>Work Order 3 Number</t>
    <phoneticPr fontId="2" type="noConversion"/>
  </si>
  <si>
    <t>WorkOrder_4</t>
    <phoneticPr fontId="2" type="noConversion"/>
  </si>
  <si>
    <t>Work Order 4 Number</t>
    <phoneticPr fontId="2" type="noConversion"/>
  </si>
  <si>
    <t>WorkOrder_5</t>
    <phoneticPr fontId="2" type="noConversion"/>
  </si>
  <si>
    <t>Work Order 5 Number</t>
    <phoneticPr fontId="2" type="noConversion"/>
  </si>
  <si>
    <t>WorkOrder_6</t>
    <phoneticPr fontId="2" type="noConversion"/>
  </si>
  <si>
    <t>Work Order 6 Number</t>
    <phoneticPr fontId="2" type="noConversion"/>
  </si>
  <si>
    <t>WorkOrder_7</t>
    <phoneticPr fontId="2" type="noConversion"/>
  </si>
  <si>
    <t>Work Order 7 Number</t>
    <phoneticPr fontId="2" type="noConversion"/>
  </si>
  <si>
    <t>WorkOrder_8</t>
    <phoneticPr fontId="2" type="noConversion"/>
  </si>
  <si>
    <t>Work Order 8 Number</t>
    <phoneticPr fontId="2" type="noConversion"/>
  </si>
  <si>
    <t>WorkOrder_9</t>
    <phoneticPr fontId="2" type="noConversion"/>
  </si>
  <si>
    <t>Work Order 9 Number</t>
    <phoneticPr fontId="2" type="noConversion"/>
  </si>
  <si>
    <t>WorkOrder_10</t>
    <phoneticPr fontId="2" type="noConversion"/>
  </si>
  <si>
    <t>Work Order 10 Number</t>
    <phoneticPr fontId="2" type="noConversion"/>
  </si>
  <si>
    <t>Current_RecipeID_Loader</t>
    <phoneticPr fontId="2" type="noConversion"/>
  </si>
  <si>
    <t>Current_RecipeID_Unloader</t>
    <phoneticPr fontId="2" type="noConversion"/>
  </si>
  <si>
    <t>1.2</t>
    <phoneticPr fontId="2" type="noConversion"/>
  </si>
  <si>
    <t>Add Common Adress and Flow Chart</t>
    <phoneticPr fontId="2" type="noConversion"/>
  </si>
  <si>
    <t>DM11000</t>
    <phoneticPr fontId="2" type="noConversion"/>
  </si>
  <si>
    <t>DM12000</t>
    <phoneticPr fontId="2" type="noConversion"/>
  </si>
  <si>
    <t>DM13000</t>
    <phoneticPr fontId="2" type="noConversion"/>
  </si>
  <si>
    <r>
      <t>[</t>
    </r>
    <r>
      <rPr>
        <sz val="12"/>
        <rFont val="微軟正黑體"/>
        <family val="2"/>
        <charset val="136"/>
      </rPr>
      <t>共用資料區</t>
    </r>
    <r>
      <rPr>
        <sz val="12"/>
        <rFont val="Arial"/>
        <family val="2"/>
      </rPr>
      <t xml:space="preserve"> : Common Data Area]</t>
    </r>
    <phoneticPr fontId="2" type="noConversion"/>
  </si>
  <si>
    <t>480</t>
    <phoneticPr fontId="2" type="noConversion"/>
  </si>
  <si>
    <t>00aa</t>
    <phoneticPr fontId="2" type="noConversion"/>
  </si>
  <si>
    <t>uuuu</t>
    <phoneticPr fontId="2" type="noConversion"/>
  </si>
  <si>
    <t>04/14/26</t>
    <phoneticPr fontId="2" type="noConversion"/>
  </si>
  <si>
    <t>【營錡酸洗】</t>
    <phoneticPr fontId="2" type="noConversion"/>
  </si>
  <si>
    <t>Pickling</t>
    <phoneticPr fontId="2" type="noConversion"/>
  </si>
  <si>
    <t>RecipeID_Pickling</t>
    <phoneticPr fontId="2" type="noConversion"/>
  </si>
  <si>
    <t>Current_RecipeID_Pickling</t>
    <phoneticPr fontId="2" type="noConversion"/>
  </si>
  <si>
    <t>RecipeID Change for Pickling</t>
    <phoneticPr fontId="2" type="noConversion"/>
  </si>
  <si>
    <t>DM10199</t>
    <phoneticPr fontId="7" type="noConversion"/>
  </si>
  <si>
    <t>200</t>
    <phoneticPr fontId="2" type="noConversion"/>
  </si>
  <si>
    <t>DM11479</t>
    <phoneticPr fontId="7" type="noConversion"/>
  </si>
  <si>
    <t>DM12149</t>
    <phoneticPr fontId="7" type="noConversion"/>
  </si>
  <si>
    <t>DM13439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</si>
</sst>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000"/>
  </numFmts>
  <fonts count="21">
    <font>
      <sz val="12"/>
      <name val="細明體"/>
      <family val="3"/>
      <charset val="136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1"/>
      <name val="ＭＳ Ｐゴシック"/>
      <family val="2"/>
    </font>
    <font>
      <sz val="6"/>
      <name val="ＭＳ Ｐゴシック"/>
      <family val="3"/>
      <charset val="255"/>
    </font>
    <font>
      <sz val="9"/>
      <name val="新細明體"/>
      <family val="1"/>
      <charset val="136"/>
    </font>
    <font>
      <sz val="12"/>
      <name val="Arial"/>
      <family val="2"/>
    </font>
    <font>
      <b/>
      <sz val="12"/>
      <name val="Arial"/>
      <family val="2"/>
    </font>
    <font>
      <b/>
      <sz val="12"/>
      <name val="標楷體"/>
      <family val="4"/>
      <charset val="136"/>
    </font>
    <font>
      <b/>
      <i/>
      <sz val="12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name val="細明體"/>
      <family val="3"/>
      <charset val="136"/>
    </font>
    <font>
      <sz val="11"/>
      <name val="?"/>
      <family val="3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71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" fillId="0" borderId="0"/>
    <xf numFmtId="0" fontId="4" fillId="0" borderId="0"/>
    <xf numFmtId="0" fontId="14" fillId="0" borderId="0"/>
    <xf numFmtId="0" fontId="15" fillId="0" borderId="0"/>
  </cellStyleXfs>
  <cellXfs count="168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176" fontId="8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176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49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8" fillId="0" borderId="7" xfId="167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11" xfId="0" applyFont="1" applyFill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1" xfId="166" applyFont="1" applyBorder="1"/>
    <xf numFmtId="0" fontId="8" fillId="0" borderId="11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166" applyFont="1" applyBorder="1" applyAlignment="1">
      <alignment horizontal="center" vertical="center"/>
    </xf>
    <xf numFmtId="49" fontId="8" fillId="0" borderId="0" xfId="0" applyNumberFormat="1" applyFont="1" applyAlignment="1">
      <alignment horizont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49" fontId="8" fillId="0" borderId="1" xfId="0" quotePrefix="1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8" fillId="0" borderId="11" xfId="166" applyFont="1" applyBorder="1" applyAlignment="1">
      <alignment vertical="center"/>
    </xf>
    <xf numFmtId="177" fontId="8" fillId="0" borderId="11" xfId="166" quotePrefix="1" applyNumberFormat="1" applyFont="1" applyBorder="1" applyAlignment="1">
      <alignment horizontal="center" vertical="center"/>
    </xf>
    <xf numFmtId="177" fontId="8" fillId="0" borderId="19" xfId="166" quotePrefix="1" applyNumberFormat="1" applyFont="1" applyBorder="1" applyAlignment="1">
      <alignment horizontal="center" vertical="center"/>
    </xf>
    <xf numFmtId="0" fontId="8" fillId="0" borderId="1" xfId="166" applyFont="1" applyBorder="1" applyAlignment="1">
      <alignment vertical="center"/>
    </xf>
    <xf numFmtId="0" fontId="8" fillId="2" borderId="19" xfId="0" applyFont="1" applyFill="1" applyBorder="1" applyAlignment="1">
      <alignment horizontal="center" wrapText="1"/>
    </xf>
    <xf numFmtId="0" fontId="8" fillId="0" borderId="2" xfId="0" applyFont="1" applyBorder="1" applyAlignment="1">
      <alignment vertical="center" wrapText="1"/>
    </xf>
    <xf numFmtId="0" fontId="8" fillId="0" borderId="1" xfId="166" applyFont="1" applyBorder="1" applyAlignment="1">
      <alignment vertical="center" wrapText="1"/>
    </xf>
    <xf numFmtId="0" fontId="8" fillId="0" borderId="11" xfId="166" applyFont="1" applyBorder="1" applyAlignment="1">
      <alignment vertical="center" wrapText="1"/>
    </xf>
    <xf numFmtId="0" fontId="8" fillId="0" borderId="1" xfId="166" applyFont="1" applyBorder="1" applyAlignment="1">
      <alignment horizontal="left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166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 wrapText="1"/>
    </xf>
    <xf numFmtId="0" fontId="8" fillId="0" borderId="0" xfId="166" applyFont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20" fontId="8" fillId="0" borderId="1" xfId="0" applyNumberFormat="1" applyFont="1" applyBorder="1" applyAlignment="1">
      <alignment vertical="center" wrapText="1"/>
    </xf>
    <xf numFmtId="0" fontId="8" fillId="0" borderId="29" xfId="166" applyFont="1" applyBorder="1" applyAlignment="1">
      <alignment horizontal="center" vertical="center"/>
    </xf>
    <xf numFmtId="177" fontId="8" fillId="0" borderId="1" xfId="166" quotePrefix="1" applyNumberFormat="1" applyFont="1" applyBorder="1" applyAlignment="1">
      <alignment horizontal="center" vertical="center"/>
    </xf>
    <xf numFmtId="49" fontId="8" fillId="3" borderId="1" xfId="167" applyNumberFormat="1" applyFont="1" applyFill="1" applyBorder="1" applyAlignment="1">
      <alignment horizontal="center" vertical="center"/>
    </xf>
    <xf numFmtId="0" fontId="8" fillId="3" borderId="1" xfId="168" applyFont="1" applyFill="1" applyBorder="1" applyAlignment="1">
      <alignment horizontal="center"/>
    </xf>
    <xf numFmtId="49" fontId="18" fillId="0" borderId="0" xfId="0" applyNumberFormat="1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8" xfId="166" applyFont="1" applyBorder="1" applyAlignment="1">
      <alignment vertical="center"/>
    </xf>
    <xf numFmtId="0" fontId="8" fillId="0" borderId="38" xfId="0" applyFont="1" applyBorder="1" applyAlignment="1">
      <alignment vertical="center" wrapText="1"/>
    </xf>
    <xf numFmtId="0" fontId="8" fillId="0" borderId="38" xfId="166" applyFont="1" applyBorder="1" applyAlignment="1">
      <alignment vertical="center" wrapText="1"/>
    </xf>
    <xf numFmtId="49" fontId="13" fillId="0" borderId="11" xfId="0" applyNumberFormat="1" applyFont="1" applyBorder="1" applyAlignment="1">
      <alignment vertical="center" wrapText="1"/>
    </xf>
    <xf numFmtId="49" fontId="13" fillId="0" borderId="31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0" fontId="8" fillId="0" borderId="19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3" borderId="0" xfId="0" applyFill="1"/>
    <xf numFmtId="176" fontId="11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 wrapText="1"/>
    </xf>
    <xf numFmtId="49" fontId="8" fillId="2" borderId="33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30" xfId="0" applyNumberFormat="1" applyFont="1" applyFill="1" applyBorder="1" applyAlignment="1">
      <alignment horizontal="center" vertical="center" wrapText="1"/>
    </xf>
    <xf numFmtId="49" fontId="8" fillId="2" borderId="34" xfId="0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 wrapText="1"/>
    </xf>
    <xf numFmtId="49" fontId="8" fillId="2" borderId="16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0" borderId="19" xfId="0" applyFont="1" applyBorder="1"/>
    <xf numFmtId="0" fontId="8" fillId="0" borderId="36" xfId="0" applyFont="1" applyBorder="1"/>
    <xf numFmtId="49" fontId="8" fillId="0" borderId="1" xfId="167" applyNumberFormat="1" applyFont="1" applyBorder="1" applyAlignment="1">
      <alignment horizontal="center" vertical="center"/>
    </xf>
    <xf numFmtId="0" fontId="8" fillId="4" borderId="37" xfId="0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center" wrapText="1"/>
    </xf>
    <xf numFmtId="0" fontId="8" fillId="2" borderId="35" xfId="0" applyFont="1" applyFill="1" applyBorder="1" applyAlignment="1">
      <alignment horizontal="center" wrapText="1"/>
    </xf>
    <xf numFmtId="0" fontId="8" fillId="0" borderId="16" xfId="0" applyFont="1" applyBorder="1" applyAlignment="1">
      <alignment wrapText="1"/>
    </xf>
    <xf numFmtId="0" fontId="8" fillId="2" borderId="19" xfId="0" applyFont="1" applyFill="1" applyBorder="1" applyAlignment="1">
      <alignment horizontal="left" wrapText="1"/>
    </xf>
    <xf numFmtId="0" fontId="8" fillId="0" borderId="36" xfId="0" applyFont="1" applyBorder="1" applyAlignment="1">
      <alignment wrapText="1"/>
    </xf>
    <xf numFmtId="0" fontId="8" fillId="0" borderId="3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39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49" fontId="8" fillId="2" borderId="20" xfId="0" applyNumberFormat="1" applyFont="1" applyFill="1" applyBorder="1" applyAlignment="1">
      <alignment horizontal="center" vertical="center" wrapText="1"/>
    </xf>
    <xf numFmtId="49" fontId="8" fillId="2" borderId="22" xfId="0" applyNumberFormat="1" applyFont="1" applyFill="1" applyBorder="1" applyAlignment="1">
      <alignment horizontal="center" vertical="center" wrapText="1"/>
    </xf>
    <xf numFmtId="49" fontId="8" fillId="2" borderId="23" xfId="0" applyNumberFormat="1" applyFont="1" applyFill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31" xfId="0" applyNumberFormat="1" applyFont="1" applyBorder="1" applyAlignment="1">
      <alignment horizontal="center" vertical="center" wrapText="1"/>
    </xf>
    <xf numFmtId="0" fontId="8" fillId="0" borderId="7" xfId="166" applyFont="1" applyBorder="1" applyAlignment="1">
      <alignment horizontal="center" vertical="center"/>
    </xf>
    <xf numFmtId="0" fontId="8" fillId="0" borderId="38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7" xfId="166" applyFont="1" applyBorder="1" applyAlignment="1">
      <alignment horizontal="center" vertical="center" wrapText="1"/>
    </xf>
    <xf numFmtId="0" fontId="8" fillId="0" borderId="38" xfId="166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3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71">
    <cellStyle name="一般" xfId="0" builtinId="0"/>
    <cellStyle name="一般 10 10" xfId="1" xr:uid="{A24AAC67-BFF4-42D7-922B-ED38F5F268F5}"/>
    <cellStyle name="一般 10 11" xfId="2" xr:uid="{3B46B7F2-611B-4233-B4E5-DE76E1180624}"/>
    <cellStyle name="一般 10 12" xfId="3" xr:uid="{58179BED-0188-4B59-B6B7-C8F933ADEB9E}"/>
    <cellStyle name="一般 10 2" xfId="4" xr:uid="{F6DD174D-CE7A-49B3-9E22-9611780CFA77}"/>
    <cellStyle name="一般 10 3" xfId="5" xr:uid="{068342AC-D7FC-4802-9FD5-76E66C26C654}"/>
    <cellStyle name="一般 10 4" xfId="6" xr:uid="{DA580BBF-2FB6-4E53-BEF0-38EA4B478192}"/>
    <cellStyle name="一般 10 5" xfId="7" xr:uid="{933E3F9D-6F30-4D00-83D2-7BA6A5A6C858}"/>
    <cellStyle name="一般 10 6" xfId="8" xr:uid="{23130B04-2EAD-44BF-AE21-179E9A737593}"/>
    <cellStyle name="一般 10 7" xfId="9" xr:uid="{BAF76A03-223F-4C23-9FC5-CD83BF5AA995}"/>
    <cellStyle name="一般 10 8" xfId="10" xr:uid="{25D20703-FD10-4744-8958-D9194E78D762}"/>
    <cellStyle name="一般 10 9" xfId="11" xr:uid="{E00BD1BE-CC50-4005-9BBA-093228210852}"/>
    <cellStyle name="一般 11 10" xfId="12" xr:uid="{D55D089E-2FEC-40F1-B886-5A3E7C9DE07E}"/>
    <cellStyle name="一般 11 11" xfId="13" xr:uid="{7DE93DFF-9151-4C70-B97A-334D556FD08C}"/>
    <cellStyle name="一般 11 12" xfId="14" xr:uid="{63F57C05-5D25-46A0-82FC-0DFC00A5C5F6}"/>
    <cellStyle name="一般 11 2" xfId="15" xr:uid="{812FB98F-74CB-413B-9891-FA066240A5E8}"/>
    <cellStyle name="一般 11 3" xfId="16" xr:uid="{E966DFDB-D067-4999-8A04-0CFFB08C2698}"/>
    <cellStyle name="一般 11 4" xfId="17" xr:uid="{D4A78D3B-AC13-402F-A68C-02E0DCB6878F}"/>
    <cellStyle name="一般 11 5" xfId="18" xr:uid="{37849572-6B46-4F99-AA6C-88DF2114C71B}"/>
    <cellStyle name="一般 11 6" xfId="19" xr:uid="{BAA6FD7C-14F7-4689-9796-6E058AEBE403}"/>
    <cellStyle name="一般 11 7" xfId="20" xr:uid="{F5DA2D49-2475-45FD-9A43-6C2715513383}"/>
    <cellStyle name="一般 11 8" xfId="21" xr:uid="{01ACA449-28BF-4DF6-B31B-8404BE4370F6}"/>
    <cellStyle name="一般 11 9" xfId="22" xr:uid="{57763D01-3620-4AF2-8EF8-8923A1B4BAF9}"/>
    <cellStyle name="一般 12" xfId="23" xr:uid="{3DAE50A9-62D8-493F-BF1F-4AE79E87C202}"/>
    <cellStyle name="一般 12 2" xfId="24" xr:uid="{C82074D5-CB9F-4BF1-8B03-4DBA0A936399}"/>
    <cellStyle name="一般 12 3" xfId="25" xr:uid="{4E170DF0-890D-4AE0-8E51-F1C7E9B121CE}"/>
    <cellStyle name="一般 12 4" xfId="26" xr:uid="{F1584B95-65F9-4BD5-B6D0-3F50E65C4A6D}"/>
    <cellStyle name="一般 12 5" xfId="27" xr:uid="{9A201C9B-E90C-456B-AA4A-908393779399}"/>
    <cellStyle name="一般 12 6" xfId="28" xr:uid="{89110D38-A35B-4DFD-9EAA-6262A447AF40}"/>
    <cellStyle name="一般 12 7" xfId="29" xr:uid="{5A7CF73A-2734-4DEB-AED4-846B6E6430FF}"/>
    <cellStyle name="一般 12 8" xfId="30" xr:uid="{B357250C-01B6-44A9-8ADC-16C83B73D1EF}"/>
    <cellStyle name="一般 12 9" xfId="31" xr:uid="{0AD92588-695B-4A31-A9E9-494805297F8E}"/>
    <cellStyle name="一般 13" xfId="32" xr:uid="{51904C3C-5BDC-4F7A-9539-253B19A86187}"/>
    <cellStyle name="一般 13 2" xfId="33" xr:uid="{622127BF-2AA5-45E5-A831-8E62EC32C6D4}"/>
    <cellStyle name="一般 13 3" xfId="34" xr:uid="{268334A8-FF7C-4EBA-921E-C9645FB32909}"/>
    <cellStyle name="一般 13 4" xfId="35" xr:uid="{2712EBB7-FD29-49C2-950D-2C83D41F0ADE}"/>
    <cellStyle name="一般 13 5" xfId="36" xr:uid="{7A443A80-79C9-43EC-8735-2349DBB83F6E}"/>
    <cellStyle name="一般 13 6" xfId="37" xr:uid="{BFA2C5F8-1507-4771-9DEF-7EC802E72F40}"/>
    <cellStyle name="一般 13 7" xfId="38" xr:uid="{47B3B5F0-A0FB-4D8C-A06C-911C09D98358}"/>
    <cellStyle name="一般 13 8" xfId="39" xr:uid="{1DA5ECB5-D87A-4634-8078-CAEDA346645D}"/>
    <cellStyle name="一般 13 9" xfId="40" xr:uid="{BA36CCA2-AE1B-44C1-AA82-84926DFBE227}"/>
    <cellStyle name="一般 14" xfId="41" xr:uid="{D7DCF8E1-B133-4DA4-8E5D-9DCCB542AAA4}"/>
    <cellStyle name="一般 14 2" xfId="42" xr:uid="{3BC0750D-8EB5-43E2-A30E-C4CAC028AB4E}"/>
    <cellStyle name="一般 14 3" xfId="43" xr:uid="{DDABA9CA-3A78-4245-B933-2263CD929C47}"/>
    <cellStyle name="一般 14 4" xfId="44" xr:uid="{8F85F335-F75E-4FEE-94BF-45EB6CAAE35A}"/>
    <cellStyle name="一般 14 5" xfId="45" xr:uid="{97442A2F-5C66-4CB7-A97E-08A741E1EE18}"/>
    <cellStyle name="一般 14 6" xfId="46" xr:uid="{FEA8D8F2-2395-4ADA-852E-C33FA1FBB43B}"/>
    <cellStyle name="一般 14 7" xfId="47" xr:uid="{6C9F9ECA-C9CF-411D-9353-CCF9403BBD3E}"/>
    <cellStyle name="一般 14 8" xfId="48" xr:uid="{BDD5BB32-6526-4CF9-9D42-9FE161CA1D85}"/>
    <cellStyle name="一般 14 9" xfId="49" xr:uid="{8FDC78C8-AAE4-4743-BF86-E64190AC12F9}"/>
    <cellStyle name="一般 15" xfId="50" xr:uid="{36D92580-3727-4669-A0DD-9BDF2BF128BB}"/>
    <cellStyle name="一般 15 2" xfId="51" xr:uid="{B4DD9EB7-3718-49EF-8A5A-DFB678D2D029}"/>
    <cellStyle name="一般 15 3" xfId="52" xr:uid="{06E91E94-34C2-48A6-9051-BAF4E9748978}"/>
    <cellStyle name="一般 15 4" xfId="53" xr:uid="{E48ABA41-D956-4F11-8C31-DC0ACB87C581}"/>
    <cellStyle name="一般 15 5" xfId="54" xr:uid="{EE15C339-09FB-4EA7-A089-1EEFC75FB877}"/>
    <cellStyle name="一般 15 6" xfId="55" xr:uid="{81FCAD3E-756A-44C2-9B03-0E6146511EFD}"/>
    <cellStyle name="一般 15 7" xfId="56" xr:uid="{CDB220B9-E653-4459-AE11-F52870686FB8}"/>
    <cellStyle name="一般 15 8" xfId="57" xr:uid="{AA9AAE86-67CB-441D-AB74-F083B0338D23}"/>
    <cellStyle name="一般 15 9" xfId="58" xr:uid="{677BA5F2-322C-4EA9-A16F-9A6A6A577020}"/>
    <cellStyle name="一般 16" xfId="59" xr:uid="{11816978-D3AE-4EA7-B4F4-73647AE7A98E}"/>
    <cellStyle name="一般 16 2" xfId="60" xr:uid="{A7F56920-0F77-4D81-9F19-E356060AF81A}"/>
    <cellStyle name="一般 16 3" xfId="61" xr:uid="{D267B343-1159-4C5B-9C62-8BC12ACF645B}"/>
    <cellStyle name="一般 16 4" xfId="62" xr:uid="{FEC70DEC-0853-4676-B4D6-827CC8AB0011}"/>
    <cellStyle name="一般 16 5" xfId="63" xr:uid="{28D40B78-D30A-49B1-9633-095EE5C3F0CC}"/>
    <cellStyle name="一般 16 6" xfId="64" xr:uid="{EDEBB9D7-9C73-4538-A751-DAAB336BD1C1}"/>
    <cellStyle name="一般 16 7" xfId="65" xr:uid="{B29294F4-CBCC-4784-A8B2-57BA8EFFAD3B}"/>
    <cellStyle name="一般 16 8" xfId="66" xr:uid="{C0AD8596-A72D-45CB-8714-49D71408BE99}"/>
    <cellStyle name="一般 16 9" xfId="67" xr:uid="{B14C29AD-AC9B-4A3E-BB9B-221E66C7B850}"/>
    <cellStyle name="一般 17" xfId="68" xr:uid="{3D1512C3-455C-4A6E-914F-A8095D053D04}"/>
    <cellStyle name="一般 17 2" xfId="69" xr:uid="{7B1F9041-7059-4C53-BB0B-D18B85785B8D}"/>
    <cellStyle name="一般 18" xfId="70" xr:uid="{EA189383-8363-4F10-8F2E-2F18B034B114}"/>
    <cellStyle name="一般 18 2" xfId="71" xr:uid="{2EFF9CEC-41E6-4194-9740-7C865D254359}"/>
    <cellStyle name="一般 19" xfId="72" xr:uid="{3039BE2C-7C60-43E6-A569-4C9D92404568}"/>
    <cellStyle name="一般 19 2" xfId="73" xr:uid="{4E6F88CB-6F60-4CFA-90D7-37A35A41EF30}"/>
    <cellStyle name="一般 2" xfId="74" xr:uid="{57F19A1B-6D2E-47DA-AA61-5DDD8089ED52}"/>
    <cellStyle name="一般 2 10" xfId="75" xr:uid="{28AAF5DE-7841-41B3-8735-8CEB785E71BB}"/>
    <cellStyle name="一般 2 11" xfId="76" xr:uid="{BDE7F168-8914-43E1-88C5-07A0145287E2}"/>
    <cellStyle name="一般 2 12" xfId="77" xr:uid="{000666DE-A4EC-4351-B8A2-CB966F3A5D6B}"/>
    <cellStyle name="一般 2 2" xfId="78" xr:uid="{F1C7D19A-3E4E-4E05-B1A8-F0FAA18189BD}"/>
    <cellStyle name="一般 2 3" xfId="79" xr:uid="{8E5194BA-87F1-43FB-BC50-6AE0CC42A875}"/>
    <cellStyle name="一般 2 4" xfId="80" xr:uid="{CC88E2B2-647D-4FB2-8F52-0B1148A0EB18}"/>
    <cellStyle name="一般 2 5" xfId="81" xr:uid="{1240F1D0-2B06-4270-BA9A-8DE20F1EA443}"/>
    <cellStyle name="一般 2 6" xfId="82" xr:uid="{93AC93F3-DCA9-42EF-8FD8-0CA8C791D3D1}"/>
    <cellStyle name="一般 2 7" xfId="83" xr:uid="{BAC9AAF0-1994-4C0C-BBDC-307FC0379095}"/>
    <cellStyle name="一般 2 8" xfId="84" xr:uid="{77F41E93-C82B-42AB-B615-6D90744A3811}"/>
    <cellStyle name="一般 2 9" xfId="85" xr:uid="{D59305E9-E394-48A7-811E-452F41652FBF}"/>
    <cellStyle name="一般 3" xfId="86" xr:uid="{E4580ED2-CC9F-40D3-B820-86CFC061D5DF}"/>
    <cellStyle name="一般 3 10" xfId="87" xr:uid="{E1325345-CCAB-4A62-B0B5-4B1C5B113888}"/>
    <cellStyle name="一般 3 2" xfId="88" xr:uid="{F1C81F2A-12CF-4082-B839-AA7D6333D4DC}"/>
    <cellStyle name="一般 3 3" xfId="89" xr:uid="{44F4A2D0-F04C-4CEF-B284-A36A6F6B5E5A}"/>
    <cellStyle name="一般 3 4" xfId="90" xr:uid="{03FEFACD-A69F-410B-9F99-F838C3C56DE6}"/>
    <cellStyle name="一般 3 5" xfId="91" xr:uid="{6C2CE4AE-04B3-4253-A426-0F5E9193C450}"/>
    <cellStyle name="一般 3 6" xfId="92" xr:uid="{DA8F9BF8-2C01-434E-BC61-8CCD1B8D3B90}"/>
    <cellStyle name="一般 3 7" xfId="93" xr:uid="{FF29977D-E064-42B6-B12A-36E4923AB8AA}"/>
    <cellStyle name="一般 3 8" xfId="94" xr:uid="{E784340E-4826-447F-AB09-CFDDCA38670F}"/>
    <cellStyle name="一般 3 9" xfId="95" xr:uid="{07762DD2-CC56-4399-B95B-7BD8ABFB296F}"/>
    <cellStyle name="一般 4" xfId="96" xr:uid="{12251B20-93D3-46D0-85B6-38A4638CAA77}"/>
    <cellStyle name="一般 4 10" xfId="97" xr:uid="{19E8E41F-5E2A-4B2A-8711-A731490F9B90}"/>
    <cellStyle name="一般 4 11" xfId="98" xr:uid="{1CC785F7-C868-4545-9DD9-8936AC3F69F5}"/>
    <cellStyle name="一般 4 12" xfId="99" xr:uid="{2C4AE5F9-B055-4689-8E4D-5DA554BA23E1}"/>
    <cellStyle name="一般 4 2" xfId="100" xr:uid="{7CD17DD6-FE66-41F4-B7BF-9C1488798F5F}"/>
    <cellStyle name="一般 4 3" xfId="101" xr:uid="{D2995C27-FE4B-46BE-B94B-0CFE1916C769}"/>
    <cellStyle name="一般 4 4" xfId="102" xr:uid="{CC6DE0FA-07A5-4790-BD66-F1C4E9B14FDE}"/>
    <cellStyle name="一般 4 5" xfId="103" xr:uid="{2F6BA48E-C95A-4F27-9B7A-36D47D731F1A}"/>
    <cellStyle name="一般 4 6" xfId="104" xr:uid="{99D67430-2994-4E1B-885D-D1C290FC4FBB}"/>
    <cellStyle name="一般 4 7" xfId="105" xr:uid="{147E4E47-1683-48E8-A273-A78F1E73C5AC}"/>
    <cellStyle name="一般 4 8" xfId="106" xr:uid="{D017E583-0630-45A5-8813-1E5AA478D376}"/>
    <cellStyle name="一般 4 9" xfId="107" xr:uid="{E928BE56-4C6F-49A7-AFEB-D64664161058}"/>
    <cellStyle name="一般 5 2" xfId="108" xr:uid="{92109AD8-6D2A-44F4-B590-4929C04A0DAC}"/>
    <cellStyle name="一般 5 3" xfId="109" xr:uid="{A4424C4E-A5AB-4286-BA05-7242EB9CCC13}"/>
    <cellStyle name="一般 5 4" xfId="110" xr:uid="{07F64901-B7C4-42E7-AAD6-351F995BFAB4}"/>
    <cellStyle name="一般 5 5" xfId="111" xr:uid="{7EB4A419-98A4-47B2-A7A7-2CCA5206B8AA}"/>
    <cellStyle name="一般 5 6" xfId="112" xr:uid="{111900B4-B1BE-41C7-8C80-C20998E5F60E}"/>
    <cellStyle name="一般 5 7" xfId="113" xr:uid="{A44568B3-F340-49D4-A511-046D964A4C19}"/>
    <cellStyle name="一般 5 8" xfId="114" xr:uid="{71282098-5D4D-44B1-BF57-2F95E23F01AF}"/>
    <cellStyle name="一般 6" xfId="115" xr:uid="{ED0FF44E-6B6C-43A4-8A6A-6C8B197BC9A0}"/>
    <cellStyle name="一般 6 10" xfId="116" xr:uid="{4B5B0A03-4CBB-4A30-BD17-0CD817C9C835}"/>
    <cellStyle name="一般 6 10 2" xfId="117" xr:uid="{58A675E0-A7DC-499A-AFE7-B64E43F3A4EF}"/>
    <cellStyle name="一般 6 11" xfId="118" xr:uid="{8F34A0A1-AC20-4F91-8217-622C6ED2C00A}"/>
    <cellStyle name="一般 6 12" xfId="119" xr:uid="{B8B10AE9-052F-492A-A56C-FA639E22A2FA}"/>
    <cellStyle name="一般 6 13" xfId="120" xr:uid="{85BAD21D-5577-46B3-8A67-65B59E27CC5C}"/>
    <cellStyle name="一般 6 14" xfId="121" xr:uid="{AFC08C08-4065-4577-944A-312DEE36A1C8}"/>
    <cellStyle name="一般 6 2" xfId="122" xr:uid="{BF1FC56B-83CB-47FA-A58C-5EDE9CF2AA80}"/>
    <cellStyle name="一般 6 3" xfId="123" xr:uid="{0945E247-31F3-4775-A81C-941240D85148}"/>
    <cellStyle name="一般 6 4" xfId="124" xr:uid="{CC8524B4-7981-472D-96A6-C53E9E5F785B}"/>
    <cellStyle name="一般 6 5" xfId="125" xr:uid="{D1AF7605-6B10-49E8-B522-0DBD8BA81462}"/>
    <cellStyle name="一般 6 6" xfId="126" xr:uid="{8D379A2F-803A-4C3F-BBD4-3E943F8C436D}"/>
    <cellStyle name="一般 6 7" xfId="127" xr:uid="{BE3BD2AB-8021-4D32-B3FE-BC906284648F}"/>
    <cellStyle name="一般 6 8" xfId="128" xr:uid="{6FCCBB8F-4E4D-41AB-A8DF-23CD9AAB8930}"/>
    <cellStyle name="一般 6 9" xfId="129" xr:uid="{3C317DEC-3BA0-418A-B7B2-50DB07D633D2}"/>
    <cellStyle name="一般 7" xfId="130" xr:uid="{6DA7B9C9-FE64-4BC9-ACAA-6564C010F56A}"/>
    <cellStyle name="一般 7 10" xfId="131" xr:uid="{ADA70D36-3FC0-4FD7-9E41-DFA408CAB486}"/>
    <cellStyle name="一般 7 11" xfId="132" xr:uid="{DCE811F7-DF1C-4E11-AD1A-5D533E23EFB9}"/>
    <cellStyle name="一般 7 12" xfId="133" xr:uid="{7F747F19-C7E6-4BE5-89EF-B78ABB0B7791}"/>
    <cellStyle name="一般 7 2" xfId="134" xr:uid="{257B2CA3-A5C1-48E0-90C4-BDB93826F4B3}"/>
    <cellStyle name="一般 7 3" xfId="135" xr:uid="{8BBDCCA2-071F-404F-A983-67DA7079BBFA}"/>
    <cellStyle name="一般 7 4" xfId="136" xr:uid="{2F4999B8-CF1D-49E7-9E1C-411A262E70E6}"/>
    <cellStyle name="一般 7 5" xfId="137" xr:uid="{9C936F2A-C213-4ECB-A645-A6C6F9176DE8}"/>
    <cellStyle name="一般 7 6" xfId="138" xr:uid="{AC15C937-D5A3-4988-A150-6AE8EA338AC3}"/>
    <cellStyle name="一般 7 7" xfId="139" xr:uid="{74C179DE-1894-4C0E-9EA7-C199C725679C}"/>
    <cellStyle name="一般 7 8" xfId="140" xr:uid="{435F9B05-F507-4BEC-9DD7-2F4951515C4F}"/>
    <cellStyle name="一般 7 9" xfId="141" xr:uid="{1E2031F5-1471-42DF-BB16-6A7169D86C56}"/>
    <cellStyle name="一般 8" xfId="142" xr:uid="{2DE0ACA7-9172-4C61-A5B9-D52E4735C43B}"/>
    <cellStyle name="一般 8 10" xfId="143" xr:uid="{C57571A0-706F-4841-A567-1B63941AEA62}"/>
    <cellStyle name="一般 8 11" xfId="144" xr:uid="{8CC469BD-8EE7-4FAF-8848-DFDCF3BFEC26}"/>
    <cellStyle name="一般 8 12" xfId="145" xr:uid="{006D3723-20DB-4BAF-946B-E9B60B73F89C}"/>
    <cellStyle name="一般 8 2" xfId="146" xr:uid="{B6D557B9-50E1-4F45-B3FD-E2BA02B5E264}"/>
    <cellStyle name="一般 8 3" xfId="147" xr:uid="{ABAD8ED9-5F1F-439D-AD3B-92DF00FC056B}"/>
    <cellStyle name="一般 8 4" xfId="148" xr:uid="{61FD05B7-3DBF-4A42-9575-C58900E2BB4C}"/>
    <cellStyle name="一般 8 5" xfId="149" xr:uid="{281744C4-51B6-4C30-BCB1-B1615E371A37}"/>
    <cellStyle name="一般 8 6" xfId="150" xr:uid="{2DB8E584-C4C5-4EFD-8644-4751E465C842}"/>
    <cellStyle name="一般 8 7" xfId="151" xr:uid="{39BA69B0-4DD0-4259-BFCF-5657475DF8B8}"/>
    <cellStyle name="一般 8 8" xfId="152" xr:uid="{242D0EF1-1BC7-4DD7-BC23-51197D2050C5}"/>
    <cellStyle name="一般 8 9" xfId="153" xr:uid="{ADFAA8EA-EA84-41D1-BFFE-02D992DE222E}"/>
    <cellStyle name="一般 9" xfId="154" xr:uid="{DC2AAE1C-734B-4C9F-852D-6E9313BB0B65}"/>
    <cellStyle name="一般 9 10" xfId="155" xr:uid="{06FEE463-33B1-4934-B537-0864DBD0051E}"/>
    <cellStyle name="一般 9 11" xfId="156" xr:uid="{D03B33A3-F8BC-408D-A23E-C6931F0B5950}"/>
    <cellStyle name="一般 9 12" xfId="157" xr:uid="{19D28CF0-AD1E-4FF7-A667-B17914AD04BA}"/>
    <cellStyle name="一般 9 2" xfId="158" xr:uid="{76E968E6-E42B-4D6F-8312-641D6C50D88C}"/>
    <cellStyle name="一般 9 3" xfId="159" xr:uid="{D81EF3D1-EC36-4137-A132-D1AB47604D8D}"/>
    <cellStyle name="一般 9 4" xfId="160" xr:uid="{F9723635-51D8-4B64-BE11-EE874179121D}"/>
    <cellStyle name="一般 9 5" xfId="161" xr:uid="{BC06F2D5-75B0-4024-B52D-AF15F845D759}"/>
    <cellStyle name="一般 9 6" xfId="162" xr:uid="{9052350F-4F82-4533-AF37-114CBF638AE2}"/>
    <cellStyle name="一般 9 7" xfId="163" xr:uid="{4F8214C8-865C-4784-BAB1-C0C06CA6BA77}"/>
    <cellStyle name="一般 9 8" xfId="164" xr:uid="{F8D5BF57-8D02-4F1B-AC51-60391D2EBEF4}"/>
    <cellStyle name="一般 9 9" xfId="165" xr:uid="{1182BB64-AE0A-442C-B2B1-1A314EFC3FE6}"/>
    <cellStyle name="一般_Map1022_PI_Ldr_0415" xfId="166" xr:uid="{9835F463-118C-4C66-AED0-40299CED93C4}"/>
    <cellStyle name="一般_Sheet1" xfId="167" xr:uid="{6E4CA9D9-B694-46D6-960F-8DEA3C193C14}"/>
    <cellStyle name="一般_TagName" xfId="168" xr:uid="{112D1A09-D183-4B91-BEAB-7C6A30BBC5EE}"/>
    <cellStyle name="標準_EDC" xfId="169" xr:uid="{5544F904-7256-4EFC-A5D2-54933155F2A2}"/>
    <cellStyle name="樣式 1" xfId="170" xr:uid="{C30356F4-1EE1-479C-A18D-8B552F566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grpSp>
      <xdr:nvGrpSpPr>
        <xdr:cNvPr id="7952" name="Group 1">
          <a:extLst>
            <a:ext uri="{FF2B5EF4-FFF2-40B4-BE49-F238E27FC236}">
              <a16:creationId xmlns:a16="http://schemas.microsoft.com/office/drawing/2014/main" id="{9B99244A-D8FD-1A9A-2E4C-A5C771BAA7E5}"/>
            </a:ext>
          </a:extLst>
        </xdr:cNvPr>
        <xdr:cNvGrpSpPr>
          <a:grpSpLocks/>
        </xdr:cNvGrpSpPr>
      </xdr:nvGrpSpPr>
      <xdr:grpSpPr bwMode="auto">
        <a:xfrm>
          <a:off x="0" y="2343150"/>
          <a:ext cx="0" cy="0"/>
          <a:chOff x="61" y="534"/>
          <a:chExt cx="556" cy="24"/>
        </a:xfrm>
      </xdr:grpSpPr>
      <xdr:sp macro="" textlink="">
        <xdr:nvSpPr>
          <xdr:cNvPr id="7170" name="Rectangle 2">
            <a:extLst>
              <a:ext uri="{FF2B5EF4-FFF2-40B4-BE49-F238E27FC236}">
                <a16:creationId xmlns:a16="http://schemas.microsoft.com/office/drawing/2014/main" id="{59CEF06D-04A3-67E6-5E80-15AA03BC8D67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68" name="Group 3">
            <a:extLst>
              <a:ext uri="{FF2B5EF4-FFF2-40B4-BE49-F238E27FC236}">
                <a16:creationId xmlns:a16="http://schemas.microsoft.com/office/drawing/2014/main" id="{723C2702-24A7-A100-9407-627F8AD9B8A8}"/>
              </a:ext>
            </a:extLst>
          </xdr:cNvPr>
          <xdr:cNvGrpSpPr>
            <a:grpSpLocks/>
          </xdr:cNvGrpSpPr>
        </xdr:nvGrpSpPr>
        <xdr:grpSpPr bwMode="auto">
          <a:xfrm>
            <a:off x="261" y="534"/>
            <a:ext cx="156" cy="24"/>
            <a:chOff x="302" y="471"/>
            <a:chExt cx="156" cy="21"/>
          </a:xfrm>
        </xdr:grpSpPr>
        <xdr:sp macro="" textlink="">
          <xdr:nvSpPr>
            <xdr:cNvPr id="7172" name="Rectangle 4">
              <a:extLst>
                <a:ext uri="{FF2B5EF4-FFF2-40B4-BE49-F238E27FC236}">
                  <a16:creationId xmlns:a16="http://schemas.microsoft.com/office/drawing/2014/main" id="{6C78FBC0-7604-2739-423E-3C34C44405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73" name="Rectangle 5">
              <a:extLst>
                <a:ext uri="{FF2B5EF4-FFF2-40B4-BE49-F238E27FC236}">
                  <a16:creationId xmlns:a16="http://schemas.microsoft.com/office/drawing/2014/main" id="{35B1C569-0589-9EFD-85B9-642482168D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74" name="Rectangle 6">
            <a:extLst>
              <a:ext uri="{FF2B5EF4-FFF2-40B4-BE49-F238E27FC236}">
                <a16:creationId xmlns:a16="http://schemas.microsoft.com/office/drawing/2014/main" id="{26961FFB-8694-7432-8091-8D51FD40C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5" name="Rectangle 7">
            <a:extLst>
              <a:ext uri="{FF2B5EF4-FFF2-40B4-BE49-F238E27FC236}">
                <a16:creationId xmlns:a16="http://schemas.microsoft.com/office/drawing/2014/main" id="{C1BC7B1B-C288-60FA-2855-F87A9D962125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6" name="Rectangle 8">
            <a:extLst>
              <a:ext uri="{FF2B5EF4-FFF2-40B4-BE49-F238E27FC236}">
                <a16:creationId xmlns:a16="http://schemas.microsoft.com/office/drawing/2014/main" id="{B3E6DCF2-4404-D83F-9CC3-63E71EC9C551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7" name="Rectangle 9">
            <a:extLst>
              <a:ext uri="{FF2B5EF4-FFF2-40B4-BE49-F238E27FC236}">
                <a16:creationId xmlns:a16="http://schemas.microsoft.com/office/drawing/2014/main" id="{11F54E96-2B7A-2DDC-8C0F-2061135D5EB6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8" name="Rectangle 10">
            <a:extLst>
              <a:ext uri="{FF2B5EF4-FFF2-40B4-BE49-F238E27FC236}">
                <a16:creationId xmlns:a16="http://schemas.microsoft.com/office/drawing/2014/main" id="{0DB2A68A-4CCA-4629-A2AA-59A77E9465D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9" name="Rectangle 11">
            <a:extLst>
              <a:ext uri="{FF2B5EF4-FFF2-40B4-BE49-F238E27FC236}">
                <a16:creationId xmlns:a16="http://schemas.microsoft.com/office/drawing/2014/main" id="{421C9CEC-7021-F089-520B-FE742BBF0AF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0" name="Rectangle 12">
            <a:extLst>
              <a:ext uri="{FF2B5EF4-FFF2-40B4-BE49-F238E27FC236}">
                <a16:creationId xmlns:a16="http://schemas.microsoft.com/office/drawing/2014/main" id="{C0E4A9FA-BAE9-E261-539B-1C8403E42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grpSp>
      <xdr:nvGrpSpPr>
        <xdr:cNvPr id="7953" name="Group 13">
          <a:extLst>
            <a:ext uri="{FF2B5EF4-FFF2-40B4-BE49-F238E27FC236}">
              <a16:creationId xmlns:a16="http://schemas.microsoft.com/office/drawing/2014/main" id="{9885DFC1-0CA0-CF4E-F7F8-602FF1A1EFDC}"/>
            </a:ext>
          </a:extLst>
        </xdr:cNvPr>
        <xdr:cNvGrpSpPr>
          <a:grpSpLocks/>
        </xdr:cNvGrpSpPr>
      </xdr:nvGrpSpPr>
      <xdr:grpSpPr bwMode="auto">
        <a:xfrm>
          <a:off x="0" y="2133600"/>
          <a:ext cx="0" cy="209550"/>
          <a:chOff x="61" y="493"/>
          <a:chExt cx="556" cy="24"/>
        </a:xfrm>
      </xdr:grpSpPr>
      <xdr:sp macro="" textlink="">
        <xdr:nvSpPr>
          <xdr:cNvPr id="7182" name="Rectangle 14">
            <a:extLst>
              <a:ext uri="{FF2B5EF4-FFF2-40B4-BE49-F238E27FC236}">
                <a16:creationId xmlns:a16="http://schemas.microsoft.com/office/drawing/2014/main" id="{E2106BAA-1406-E7A5-4EC9-6D7E51164AA8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57" name="Group 15">
            <a:extLst>
              <a:ext uri="{FF2B5EF4-FFF2-40B4-BE49-F238E27FC236}">
                <a16:creationId xmlns:a16="http://schemas.microsoft.com/office/drawing/2014/main" id="{879746B3-684A-B14F-5E06-1A884A81898C}"/>
              </a:ext>
            </a:extLst>
          </xdr:cNvPr>
          <xdr:cNvGrpSpPr>
            <a:grpSpLocks/>
          </xdr:cNvGrpSpPr>
        </xdr:nvGrpSpPr>
        <xdr:grpSpPr bwMode="auto">
          <a:xfrm>
            <a:off x="261" y="493"/>
            <a:ext cx="156" cy="24"/>
            <a:chOff x="302" y="471"/>
            <a:chExt cx="156" cy="21"/>
          </a:xfrm>
        </xdr:grpSpPr>
        <xdr:sp macro="" textlink="">
          <xdr:nvSpPr>
            <xdr:cNvPr id="7184" name="Rectangle 16">
              <a:extLst>
                <a:ext uri="{FF2B5EF4-FFF2-40B4-BE49-F238E27FC236}">
                  <a16:creationId xmlns:a16="http://schemas.microsoft.com/office/drawing/2014/main" id="{A237AC2C-FC60-8AFA-184A-38047B6C81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85" name="Rectangle 17">
              <a:extLst>
                <a:ext uri="{FF2B5EF4-FFF2-40B4-BE49-F238E27FC236}">
                  <a16:creationId xmlns:a16="http://schemas.microsoft.com/office/drawing/2014/main" id="{5A3C3587-FFA6-F0CA-4C5E-CC5733B132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86" name="Rectangle 18">
            <a:extLst>
              <a:ext uri="{FF2B5EF4-FFF2-40B4-BE49-F238E27FC236}">
                <a16:creationId xmlns:a16="http://schemas.microsoft.com/office/drawing/2014/main" id="{E56AB899-DAD1-B525-FDF0-9E778198DD22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7" name="Rectangle 19">
            <a:extLst>
              <a:ext uri="{FF2B5EF4-FFF2-40B4-BE49-F238E27FC236}">
                <a16:creationId xmlns:a16="http://schemas.microsoft.com/office/drawing/2014/main" id="{F2B0B714-C169-936A-74ED-924FED913F5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8" name="Rectangle 20">
            <a:extLst>
              <a:ext uri="{FF2B5EF4-FFF2-40B4-BE49-F238E27FC236}">
                <a16:creationId xmlns:a16="http://schemas.microsoft.com/office/drawing/2014/main" id="{CCEEB892-E634-630E-094A-7B54C2C5BAA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9" name="Rectangle 21">
            <a:extLst>
              <a:ext uri="{FF2B5EF4-FFF2-40B4-BE49-F238E27FC236}">
                <a16:creationId xmlns:a16="http://schemas.microsoft.com/office/drawing/2014/main" id="{6C46698F-08B9-6E2D-61D6-094939476F9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0" name="Rectangle 22">
            <a:extLst>
              <a:ext uri="{FF2B5EF4-FFF2-40B4-BE49-F238E27FC236}">
                <a16:creationId xmlns:a16="http://schemas.microsoft.com/office/drawing/2014/main" id="{87B0E81B-E112-3436-3DB3-652FCDD10B9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1" name="Rectangle 23">
            <a:extLst>
              <a:ext uri="{FF2B5EF4-FFF2-40B4-BE49-F238E27FC236}">
                <a16:creationId xmlns:a16="http://schemas.microsoft.com/office/drawing/2014/main" id="{9FFB4DD8-6CF0-58F1-55FB-728B5CD6AED1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2" name="Rectangle 24">
            <a:extLst>
              <a:ext uri="{FF2B5EF4-FFF2-40B4-BE49-F238E27FC236}">
                <a16:creationId xmlns:a16="http://schemas.microsoft.com/office/drawing/2014/main" id="{AC758FBB-C9FE-1DD3-0C6D-4437970DF7AF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4" name="Line 25">
          <a:extLst>
            <a:ext uri="{FF2B5EF4-FFF2-40B4-BE49-F238E27FC236}">
              <a16:creationId xmlns:a16="http://schemas.microsoft.com/office/drawing/2014/main" id="{28B4505C-5923-2E02-F350-227FC3A4C787}"/>
            </a:ext>
          </a:extLst>
        </xdr:cNvPr>
        <xdr:cNvSpPr>
          <a:spLocks noChangeShapeType="1"/>
        </xdr:cNvSpPr>
      </xdr:nvSpPr>
      <xdr:spPr bwMode="auto">
        <a:xfrm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5" name="Line 26">
          <a:extLst>
            <a:ext uri="{FF2B5EF4-FFF2-40B4-BE49-F238E27FC236}">
              <a16:creationId xmlns:a16="http://schemas.microsoft.com/office/drawing/2014/main" id="{3350AC8D-A483-9BE9-EA00-4D16027B8FE9}"/>
            </a:ext>
          </a:extLst>
        </xdr:cNvPr>
        <xdr:cNvSpPr>
          <a:spLocks noChangeShapeType="1"/>
        </xdr:cNvSpPr>
      </xdr:nvSpPr>
      <xdr:spPr bwMode="auto">
        <a:xfrm flipH="1"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79</xdr:row>
      <xdr:rowOff>55078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4F50EEB-D57E-43A3-99CB-487EF30AD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7450" cy="16609528"/>
        </a:xfrm>
        <a:prstGeom prst="rect">
          <a:avLst/>
        </a:prstGeom>
      </xdr:spPr>
    </xdr:pic>
    <xdr:clientData/>
  </xdr:twoCellAnchor>
  <xdr:oneCellAnchor>
    <xdr:from>
      <xdr:col>0</xdr:col>
      <xdr:colOff>457200</xdr:colOff>
      <xdr:row>1</xdr:row>
      <xdr:rowOff>95250</xdr:rowOff>
    </xdr:from>
    <xdr:ext cx="2053319" cy="31149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8F8F2E5-7A8C-4ED4-AF8B-EE7AD521EB59}"/>
            </a:ext>
          </a:extLst>
        </xdr:cNvPr>
        <xdr:cNvSpPr txBox="1"/>
      </xdr:nvSpPr>
      <xdr:spPr>
        <a:xfrm>
          <a:off x="457200" y="304800"/>
          <a:ext cx="205331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>
              <a:solidFill>
                <a:srgbClr val="FF0000"/>
              </a:solidFill>
            </a:rPr>
            <a:t>PP_SELECT  Internal Flow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C69-6BE2-435C-8B90-814A830E1D79}">
  <sheetPr codeName="Sheet1">
    <pageSetUpPr fitToPage="1"/>
  </sheetPr>
  <dimension ref="A1:I40"/>
  <sheetViews>
    <sheetView showGridLines="0" zoomScaleNormal="100" workbookViewId="0">
      <selection activeCell="G27" sqref="G27"/>
    </sheetView>
  </sheetViews>
  <sheetFormatPr defaultColWidth="9" defaultRowHeight="15"/>
  <cols>
    <col min="1" max="1" width="4.875" style="3" customWidth="1"/>
    <col min="2" max="2" width="7.625" style="3" customWidth="1"/>
    <col min="3" max="3" width="43.75" style="5" customWidth="1"/>
    <col min="4" max="4" width="8.625" style="51" customWidth="1"/>
    <col min="5" max="5" width="16.625" style="3" customWidth="1"/>
    <col min="6" max="16384" width="9" style="4"/>
  </cols>
  <sheetData>
    <row r="1" spans="1:9">
      <c r="C1" s="3"/>
      <c r="F1" s="3"/>
      <c r="G1" s="3"/>
      <c r="H1" s="3"/>
      <c r="I1" s="3"/>
    </row>
    <row r="2" spans="1:9">
      <c r="C2" s="3"/>
      <c r="F2" s="3"/>
      <c r="G2" s="3"/>
      <c r="H2" s="3"/>
      <c r="I2" s="3"/>
    </row>
    <row r="3" spans="1:9">
      <c r="C3" s="3"/>
      <c r="F3" s="3"/>
      <c r="G3" s="3"/>
      <c r="H3" s="3"/>
      <c r="I3" s="3"/>
    </row>
    <row r="4" spans="1:9" ht="16.5">
      <c r="A4" s="119" t="s">
        <v>183</v>
      </c>
      <c r="B4" s="119"/>
      <c r="C4" s="119"/>
      <c r="D4" s="119"/>
      <c r="E4" s="119"/>
      <c r="F4" s="3"/>
      <c r="G4" s="3"/>
      <c r="H4" s="3"/>
      <c r="I4" s="3"/>
    </row>
    <row r="5" spans="1:9">
      <c r="A5" s="120" t="s">
        <v>182</v>
      </c>
      <c r="B5" s="120"/>
      <c r="C5" s="120"/>
      <c r="D5" s="120"/>
      <c r="E5" s="120"/>
      <c r="F5" s="3"/>
      <c r="G5" s="3"/>
      <c r="H5" s="3"/>
      <c r="I5" s="3"/>
    </row>
    <row r="6" spans="1:9">
      <c r="C6" s="3"/>
      <c r="F6" s="3"/>
      <c r="G6" s="3"/>
      <c r="H6" s="3"/>
      <c r="I6" s="3"/>
    </row>
    <row r="7" spans="1:9" ht="16.5">
      <c r="A7" s="117" t="s">
        <v>39</v>
      </c>
      <c r="B7" s="117"/>
      <c r="C7" s="117"/>
      <c r="D7" s="117"/>
      <c r="E7" s="117"/>
      <c r="F7" s="5"/>
      <c r="G7" s="5"/>
      <c r="H7" s="3"/>
      <c r="I7" s="3"/>
    </row>
    <row r="8" spans="1:9">
      <c r="A8" s="117" t="s">
        <v>7</v>
      </c>
      <c r="B8" s="117"/>
      <c r="C8" s="117"/>
      <c r="D8" s="117"/>
      <c r="E8" s="117"/>
      <c r="F8" s="5"/>
      <c r="G8" s="5"/>
      <c r="H8" s="3"/>
      <c r="I8" s="3"/>
    </row>
    <row r="9" spans="1:9" ht="16.5">
      <c r="A9" s="118" t="s">
        <v>256</v>
      </c>
      <c r="B9" s="117"/>
      <c r="C9" s="117"/>
      <c r="D9" s="117"/>
      <c r="E9" s="117"/>
      <c r="F9" s="5"/>
      <c r="G9" s="5"/>
      <c r="H9" s="3"/>
      <c r="I9" s="3"/>
    </row>
    <row r="12" spans="1:9" ht="31.5">
      <c r="A12" s="1" t="s">
        <v>32</v>
      </c>
      <c r="B12" s="1" t="s">
        <v>33</v>
      </c>
      <c r="C12" s="2" t="s">
        <v>34</v>
      </c>
      <c r="D12" s="52" t="s">
        <v>35</v>
      </c>
      <c r="E12" s="1" t="s">
        <v>36</v>
      </c>
      <c r="F12" s="6"/>
      <c r="G12" s="6"/>
      <c r="H12" s="6"/>
      <c r="I12" s="6"/>
    </row>
    <row r="13" spans="1:9" s="6" customFormat="1">
      <c r="A13" s="7">
        <v>1</v>
      </c>
      <c r="B13" s="8" t="s">
        <v>37</v>
      </c>
      <c r="C13" s="9" t="s">
        <v>24</v>
      </c>
      <c r="D13" s="53" t="s">
        <v>184</v>
      </c>
      <c r="E13" s="7"/>
    </row>
    <row r="14" spans="1:9">
      <c r="A14" s="7">
        <v>2</v>
      </c>
      <c r="B14" s="8" t="s">
        <v>202</v>
      </c>
      <c r="C14" s="9" t="s">
        <v>203</v>
      </c>
      <c r="D14" s="53" t="s">
        <v>204</v>
      </c>
      <c r="E14" s="7"/>
    </row>
    <row r="15" spans="1:9">
      <c r="A15" s="7">
        <v>3</v>
      </c>
      <c r="B15" s="8" t="s">
        <v>246</v>
      </c>
      <c r="C15" s="9" t="s">
        <v>247</v>
      </c>
      <c r="D15" s="8" t="s">
        <v>255</v>
      </c>
      <c r="E15" s="7"/>
    </row>
    <row r="16" spans="1:9">
      <c r="A16" s="7"/>
      <c r="B16" s="8"/>
      <c r="C16" s="9"/>
      <c r="D16" s="8"/>
      <c r="E16" s="10"/>
    </row>
    <row r="17" spans="1:5">
      <c r="A17" s="7"/>
      <c r="B17" s="8"/>
      <c r="C17" s="9"/>
      <c r="D17" s="8"/>
      <c r="E17" s="10"/>
    </row>
    <row r="18" spans="1:5">
      <c r="A18" s="7"/>
      <c r="B18" s="8"/>
      <c r="C18" s="9"/>
      <c r="D18" s="53"/>
      <c r="E18" s="10"/>
    </row>
    <row r="19" spans="1:5">
      <c r="A19" s="10"/>
      <c r="B19" s="10"/>
      <c r="C19" s="11"/>
      <c r="D19" s="54"/>
      <c r="E19" s="10"/>
    </row>
    <row r="20" spans="1:5">
      <c r="A20" s="10"/>
      <c r="B20" s="10"/>
      <c r="C20" s="11"/>
      <c r="D20" s="54"/>
      <c r="E20" s="10"/>
    </row>
    <row r="21" spans="1:5">
      <c r="A21" s="10"/>
      <c r="B21" s="10"/>
      <c r="C21" s="11"/>
      <c r="D21" s="54"/>
      <c r="E21" s="10"/>
    </row>
    <row r="22" spans="1:5">
      <c r="A22" s="10"/>
      <c r="B22" s="10"/>
      <c r="C22" s="11"/>
      <c r="D22" s="54"/>
      <c r="E22" s="10"/>
    </row>
    <row r="23" spans="1:5">
      <c r="A23" s="10"/>
      <c r="B23" s="10"/>
      <c r="C23" s="11"/>
      <c r="D23" s="54"/>
      <c r="E23" s="10"/>
    </row>
    <row r="24" spans="1:5">
      <c r="A24" s="10"/>
      <c r="B24" s="10"/>
      <c r="C24" s="11"/>
      <c r="D24" s="54"/>
      <c r="E24" s="10"/>
    </row>
    <row r="25" spans="1:5">
      <c r="A25" s="10"/>
      <c r="B25" s="10"/>
      <c r="C25" s="11"/>
      <c r="D25" s="54"/>
      <c r="E25" s="10"/>
    </row>
    <row r="26" spans="1:5">
      <c r="A26" s="10"/>
      <c r="B26" s="10"/>
      <c r="C26" s="11"/>
      <c r="D26" s="54"/>
      <c r="E26" s="10"/>
    </row>
    <row r="27" spans="1:5" ht="15.75">
      <c r="A27" s="14"/>
      <c r="B27" s="14"/>
      <c r="C27" s="14"/>
      <c r="D27" s="54"/>
      <c r="E27" s="10"/>
    </row>
    <row r="28" spans="1:5" ht="15.75">
      <c r="A28" s="14"/>
      <c r="B28" s="14"/>
      <c r="C28" s="14"/>
      <c r="D28" s="54"/>
      <c r="E28" s="10"/>
    </row>
    <row r="29" spans="1:5" ht="15.75">
      <c r="A29" s="14"/>
      <c r="B29" s="14"/>
      <c r="C29" s="14"/>
      <c r="D29" s="54"/>
      <c r="E29" s="10"/>
    </row>
    <row r="30" spans="1:5" ht="15.75">
      <c r="A30" s="14"/>
      <c r="B30" s="14"/>
      <c r="C30" s="14"/>
      <c r="D30" s="54"/>
      <c r="E30" s="10"/>
    </row>
    <row r="31" spans="1:5" ht="15.75">
      <c r="A31" s="14"/>
      <c r="B31" s="14"/>
      <c r="C31" s="14"/>
      <c r="D31" s="54"/>
      <c r="E31" s="10"/>
    </row>
    <row r="32" spans="1:5" ht="15.75">
      <c r="A32" s="14"/>
      <c r="B32" s="14"/>
      <c r="C32" s="14"/>
      <c r="D32" s="54"/>
      <c r="E32" s="10"/>
    </row>
    <row r="33" spans="1:5" ht="15.75">
      <c r="A33" s="14"/>
      <c r="B33" s="14"/>
      <c r="C33" s="14"/>
      <c r="D33" s="54"/>
      <c r="E33" s="10"/>
    </row>
    <row r="34" spans="1:5" ht="15.75">
      <c r="A34" s="13"/>
      <c r="B34" s="13"/>
      <c r="C34" s="13"/>
    </row>
    <row r="35" spans="1:5" ht="16.5">
      <c r="A35" s="15"/>
      <c r="B35" s="13"/>
      <c r="C35" s="12"/>
    </row>
    <row r="36" spans="1:5">
      <c r="C36" s="116"/>
      <c r="D36" s="116"/>
      <c r="E36" s="116"/>
    </row>
    <row r="37" spans="1:5">
      <c r="C37" s="116"/>
      <c r="D37" s="116"/>
      <c r="E37" s="116"/>
    </row>
    <row r="38" spans="1:5">
      <c r="C38" s="116"/>
      <c r="D38" s="116"/>
      <c r="E38" s="116"/>
    </row>
    <row r="39" spans="1:5">
      <c r="C39" s="116"/>
      <c r="D39" s="116"/>
      <c r="E39" s="116"/>
    </row>
    <row r="40" spans="1:5">
      <c r="C40" s="116"/>
      <c r="D40" s="116"/>
      <c r="E40" s="116"/>
    </row>
  </sheetData>
  <mergeCells count="10">
    <mergeCell ref="A4:E4"/>
    <mergeCell ref="A5:E5"/>
    <mergeCell ref="C36:E36"/>
    <mergeCell ref="C37:E37"/>
    <mergeCell ref="C39:E39"/>
    <mergeCell ref="C40:E40"/>
    <mergeCell ref="C38:E38"/>
    <mergeCell ref="A7:E7"/>
    <mergeCell ref="A8:E8"/>
    <mergeCell ref="A9:E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9" orientation="portrait" horizontalDpi="4294967292" verticalDpi="200" r:id="rId1"/>
  <headerFooter alignWithMargins="0">
    <oddFooter>&amp;C&amp;"Times New Roman,標準"&amp;P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8873-3BD0-4E25-BDE6-812C904B4CF1}">
  <sheetPr codeName="Sheet2"/>
  <dimension ref="A1:J73"/>
  <sheetViews>
    <sheetView showGridLines="0" tabSelected="1" zoomScaleNormal="100" zoomScaleSheetLayoutView="100" workbookViewId="0">
      <selection activeCell="P19" sqref="P19"/>
    </sheetView>
  </sheetViews>
  <sheetFormatPr defaultColWidth="9" defaultRowHeight="15"/>
  <cols>
    <col min="1" max="1" width="3.5" style="24" customWidth="1"/>
    <col min="2" max="2" width="13.375" style="16" bestFit="1" customWidth="1"/>
    <col min="3" max="3" width="15.75" style="16" customWidth="1"/>
    <col min="4" max="4" width="6.375" style="16" customWidth="1"/>
    <col min="5" max="5" width="13.75" style="16" customWidth="1"/>
    <col min="6" max="6" width="14.25" style="16" customWidth="1"/>
    <col min="7" max="7" width="10" style="16" customWidth="1"/>
    <col min="8" max="8" width="11.75" style="16" customWidth="1"/>
    <col min="9" max="9" width="1.875" style="16" customWidth="1"/>
    <col min="10" max="10" width="2.125" style="16" customWidth="1"/>
    <col min="11" max="16384" width="9" style="16"/>
  </cols>
  <sheetData>
    <row r="1" spans="1:10" ht="16.5" customHeight="1">
      <c r="A1" s="123" t="s">
        <v>8</v>
      </c>
      <c r="B1" s="124"/>
      <c r="C1" s="127" t="s">
        <v>40</v>
      </c>
      <c r="D1" s="128"/>
      <c r="E1" s="128"/>
      <c r="F1" s="128"/>
      <c r="G1" s="128"/>
      <c r="H1" s="128"/>
      <c r="I1" s="128"/>
      <c r="J1" s="129"/>
    </row>
    <row r="2" spans="1:10">
      <c r="A2" s="125"/>
      <c r="B2" s="126"/>
      <c r="C2" s="17" t="s">
        <v>41</v>
      </c>
      <c r="D2" s="130" t="str">
        <f>Cover!C13</f>
        <v>CIM Equipment spec.</v>
      </c>
      <c r="E2" s="131"/>
      <c r="F2" s="131"/>
      <c r="G2" s="131"/>
      <c r="H2" s="131"/>
      <c r="I2" s="131"/>
      <c r="J2" s="132"/>
    </row>
    <row r="3" spans="1:10" ht="14.25" customHeight="1">
      <c r="A3" s="18"/>
      <c r="B3" s="19"/>
      <c r="C3" s="19"/>
      <c r="J3" s="20"/>
    </row>
    <row r="4" spans="1:10" ht="16.5" customHeight="1">
      <c r="A4" s="21" t="s">
        <v>10</v>
      </c>
      <c r="C4" s="22" t="str">
        <f>Cover!A9</f>
        <v>【營錡酸洗】</v>
      </c>
      <c r="J4" s="20"/>
    </row>
    <row r="5" spans="1:10" ht="15.75">
      <c r="A5" s="21" t="s">
        <v>185</v>
      </c>
      <c r="C5" s="86" t="s">
        <v>186</v>
      </c>
      <c r="J5" s="20"/>
    </row>
    <row r="6" spans="1:10">
      <c r="A6" s="21"/>
      <c r="J6" s="20"/>
    </row>
    <row r="7" spans="1:10">
      <c r="A7" s="21"/>
      <c r="C7" s="23"/>
      <c r="J7" s="20"/>
    </row>
    <row r="8" spans="1:10" ht="14.25" customHeight="1">
      <c r="A8" s="21"/>
      <c r="C8" s="23"/>
      <c r="J8" s="20"/>
    </row>
    <row r="9" spans="1:10">
      <c r="A9" s="21"/>
      <c r="J9" s="20"/>
    </row>
    <row r="10" spans="1:10" ht="15.75" customHeight="1">
      <c r="A10" s="21" t="s">
        <v>42</v>
      </c>
      <c r="J10" s="20"/>
    </row>
    <row r="11" spans="1:10">
      <c r="A11" s="21"/>
      <c r="J11" s="20"/>
    </row>
    <row r="12" spans="1:10" ht="16.5">
      <c r="A12" s="21"/>
      <c r="B12" s="121" t="s">
        <v>43</v>
      </c>
      <c r="C12" s="122"/>
      <c r="D12" s="133" t="s">
        <v>187</v>
      </c>
      <c r="E12" s="133"/>
      <c r="F12" s="133"/>
      <c r="J12" s="20"/>
    </row>
    <row r="13" spans="1:10">
      <c r="A13" s="21"/>
      <c r="D13" s="25" t="s">
        <v>44</v>
      </c>
      <c r="E13" s="25" t="s">
        <v>45</v>
      </c>
      <c r="F13" s="25" t="s">
        <v>46</v>
      </c>
      <c r="J13" s="20"/>
    </row>
    <row r="14" spans="1:10">
      <c r="A14" s="26"/>
      <c r="B14" s="89" t="s">
        <v>222</v>
      </c>
      <c r="C14" s="87" t="s">
        <v>188</v>
      </c>
      <c r="D14" s="84" t="s">
        <v>262</v>
      </c>
      <c r="E14" s="85" t="s">
        <v>49</v>
      </c>
      <c r="F14" s="85" t="s">
        <v>261</v>
      </c>
      <c r="J14" s="20"/>
    </row>
    <row r="15" spans="1:10">
      <c r="A15" s="26"/>
      <c r="B15" s="89" t="s">
        <v>47</v>
      </c>
      <c r="C15" s="87" t="s">
        <v>188</v>
      </c>
      <c r="D15" s="84" t="s">
        <v>252</v>
      </c>
      <c r="E15" s="85" t="s">
        <v>248</v>
      </c>
      <c r="F15" s="85" t="s">
        <v>263</v>
      </c>
      <c r="J15" s="20"/>
    </row>
    <row r="16" spans="1:10">
      <c r="A16" s="26"/>
      <c r="B16" s="88" t="s">
        <v>257</v>
      </c>
      <c r="C16" s="87" t="s">
        <v>188</v>
      </c>
      <c r="D16" s="85">
        <v>150</v>
      </c>
      <c r="E16" s="85" t="s">
        <v>249</v>
      </c>
      <c r="F16" s="85" t="s">
        <v>264</v>
      </c>
      <c r="J16" s="20"/>
    </row>
    <row r="17" spans="1:10">
      <c r="A17" s="26"/>
      <c r="B17" s="88" t="s">
        <v>15</v>
      </c>
      <c r="C17" s="87" t="s">
        <v>188</v>
      </c>
      <c r="D17" s="85">
        <v>440</v>
      </c>
      <c r="E17" s="85" t="s">
        <v>250</v>
      </c>
      <c r="F17" s="85" t="s">
        <v>265</v>
      </c>
      <c r="J17" s="20"/>
    </row>
    <row r="18" spans="1:10">
      <c r="A18" s="26"/>
      <c r="J18" s="20"/>
    </row>
    <row r="19" spans="1:10">
      <c r="A19" s="26"/>
      <c r="J19" s="20"/>
    </row>
    <row r="20" spans="1:10">
      <c r="A20" s="21"/>
      <c r="J20" s="20"/>
    </row>
    <row r="21" spans="1:10">
      <c r="A21" s="21"/>
      <c r="J21" s="20"/>
    </row>
    <row r="22" spans="1:10">
      <c r="A22" s="21"/>
      <c r="J22" s="20"/>
    </row>
    <row r="23" spans="1:10">
      <c r="A23" s="21"/>
      <c r="J23" s="20"/>
    </row>
    <row r="24" spans="1:10">
      <c r="A24" s="21"/>
      <c r="J24" s="20"/>
    </row>
    <row r="25" spans="1:10">
      <c r="A25" s="21"/>
      <c r="J25" s="20"/>
    </row>
    <row r="26" spans="1:10">
      <c r="A26" s="21"/>
      <c r="J26" s="20"/>
    </row>
    <row r="27" spans="1:10">
      <c r="A27" s="21"/>
      <c r="J27" s="20"/>
    </row>
    <row r="28" spans="1:10">
      <c r="A28" s="21"/>
      <c r="J28" s="20"/>
    </row>
    <row r="29" spans="1:10" ht="15.75" thickBot="1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>
      <c r="A30" s="16"/>
    </row>
    <row r="31" spans="1:10">
      <c r="A31" s="16"/>
    </row>
    <row r="32" spans="1:10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 ht="15.75" customHeight="1">
      <c r="A45" s="16"/>
    </row>
    <row r="46" spans="1:1" ht="16.5" customHeight="1">
      <c r="A46" s="16"/>
    </row>
    <row r="47" spans="1:1">
      <c r="A47" s="16"/>
    </row>
    <row r="48" spans="1:1">
      <c r="A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62" ht="15.75" customHeight="1"/>
    <row r="63" ht="14.25" customHeight="1"/>
    <row r="64" ht="14.25" customHeight="1"/>
    <row r="65" spans="2:8" ht="14.25" customHeight="1"/>
    <row r="66" spans="2:8" ht="14.25" customHeight="1"/>
    <row r="67" spans="2:8" ht="14.25" customHeight="1"/>
    <row r="68" spans="2:8" ht="14.25" customHeight="1"/>
    <row r="69" spans="2:8" ht="14.25" customHeight="1"/>
    <row r="73" spans="2:8" s="24" customFormat="1" ht="14.25" customHeight="1">
      <c r="B73" s="16"/>
      <c r="C73" s="16"/>
      <c r="D73" s="16"/>
      <c r="E73" s="16"/>
      <c r="F73" s="16"/>
      <c r="G73" s="16"/>
      <c r="H73" s="16"/>
    </row>
  </sheetData>
  <mergeCells count="5">
    <mergeCell ref="B12:C12"/>
    <mergeCell ref="A1:B2"/>
    <mergeCell ref="C1:J1"/>
    <mergeCell ref="D2:J2"/>
    <mergeCell ref="D12:F12"/>
  </mergeCells>
  <phoneticPr fontId="2" type="noConversion"/>
  <printOptions horizontalCentered="1"/>
  <pageMargins left="0.59055118110236227" right="0.15748031496062992" top="0.98425196850393704" bottom="0.98425196850393704" header="0.51181102362204722" footer="0.51181102362204722"/>
  <pageSetup paperSize="9" scale="90" orientation="portrait" horizontalDpi="4294967292" verticalDpi="200" r:id="rId1"/>
  <headerFooter alignWithMargins="0">
    <oddFooter>&amp;C&amp;"Times New Roman,標準"&amp;P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7D7C-A8F1-4193-97EE-4134F3405B34}">
  <dimension ref="A1"/>
  <sheetViews>
    <sheetView workbookViewId="0">
      <selection activeCell="K20" sqref="K20"/>
    </sheetView>
  </sheetViews>
  <sheetFormatPr defaultColWidth="8.75" defaultRowHeight="16.5"/>
  <cols>
    <col min="1" max="16384" width="8.75" style="115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954-42DF-4048-8184-E2F142EBEBD2}">
  <dimension ref="A1:J207"/>
  <sheetViews>
    <sheetView showGridLines="0" topLeftCell="A162" zoomScale="85" zoomScaleNormal="85" zoomScaleSheetLayoutView="75" workbookViewId="0">
      <selection activeCell="J28" sqref="J28:J207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37" t="s">
        <v>50</v>
      </c>
      <c r="C1" s="138"/>
      <c r="D1" s="138"/>
      <c r="E1" s="138"/>
      <c r="F1" s="138"/>
      <c r="G1" s="138"/>
      <c r="H1" s="138"/>
      <c r="I1" s="139"/>
    </row>
    <row r="2" spans="1:10">
      <c r="A2" s="50"/>
      <c r="B2" s="36" t="s">
        <v>9</v>
      </c>
      <c r="C2" s="63"/>
      <c r="D2" s="140" t="str">
        <f>Cover!C13</f>
        <v>CIM Equipment spec.</v>
      </c>
      <c r="E2" s="140"/>
      <c r="F2" s="140"/>
      <c r="G2" s="140"/>
      <c r="H2" s="140"/>
      <c r="I2" s="141"/>
    </row>
    <row r="3" spans="1:10" ht="15" customHeight="1">
      <c r="A3" s="142" t="s">
        <v>190</v>
      </c>
      <c r="B3" s="143"/>
      <c r="C3" s="58" t="s">
        <v>49</v>
      </c>
      <c r="D3" s="58"/>
      <c r="F3" s="6"/>
      <c r="G3" s="6"/>
      <c r="I3" s="37"/>
    </row>
    <row r="4" spans="1:10" ht="15.6" customHeight="1">
      <c r="A4" s="144"/>
      <c r="B4" s="145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46" t="s">
        <v>52</v>
      </c>
      <c r="E5" s="147"/>
      <c r="F5" s="147"/>
      <c r="G5" s="148"/>
      <c r="H5" s="30" t="s">
        <v>5</v>
      </c>
      <c r="I5" s="40" t="s">
        <v>6</v>
      </c>
    </row>
    <row r="6" spans="1:10" ht="15.6" customHeight="1">
      <c r="A6" s="134" t="s">
        <v>177</v>
      </c>
      <c r="B6" s="135"/>
      <c r="C6" s="135"/>
      <c r="D6" s="135"/>
      <c r="E6" s="135"/>
      <c r="F6" s="135"/>
      <c r="G6" s="135"/>
      <c r="H6" s="135"/>
      <c r="I6" s="136"/>
    </row>
    <row r="7" spans="1:10" ht="15" customHeight="1">
      <c r="A7" s="32" t="str">
        <f t="shared" ref="A7:A57" si="0">LEFT($C$3, 2) &amp; (MID($C$3, 3, LEN($C$3)) + J7)</f>
        <v>DM10000</v>
      </c>
      <c r="B7" s="110" t="s">
        <v>212</v>
      </c>
      <c r="C7" s="112" t="s">
        <v>218</v>
      </c>
      <c r="D7" s="83" t="s">
        <v>38</v>
      </c>
      <c r="E7" s="83" t="s">
        <v>38</v>
      </c>
      <c r="F7" s="83" t="s">
        <v>38</v>
      </c>
      <c r="G7" s="83" t="s">
        <v>38</v>
      </c>
      <c r="H7" s="113" t="s">
        <v>224</v>
      </c>
      <c r="I7" s="114" t="s">
        <v>173</v>
      </c>
      <c r="J7" s="6">
        <v>0</v>
      </c>
    </row>
    <row r="8" spans="1:10" ht="15" customHeight="1">
      <c r="A8" s="32" t="str">
        <f t="shared" si="0"/>
        <v>DM10001</v>
      </c>
      <c r="B8" s="110" t="s">
        <v>258</v>
      </c>
      <c r="C8" s="112" t="s">
        <v>219</v>
      </c>
      <c r="D8" s="83" t="s">
        <v>38</v>
      </c>
      <c r="E8" s="83" t="s">
        <v>38</v>
      </c>
      <c r="F8" s="83" t="s">
        <v>38</v>
      </c>
      <c r="G8" s="83" t="s">
        <v>38</v>
      </c>
      <c r="H8" s="113" t="s">
        <v>260</v>
      </c>
      <c r="I8" s="114" t="s">
        <v>173</v>
      </c>
      <c r="J8" s="6">
        <v>1</v>
      </c>
    </row>
    <row r="9" spans="1:10" ht="15" customHeight="1">
      <c r="A9" s="32" t="str">
        <f t="shared" si="0"/>
        <v>DM10002</v>
      </c>
      <c r="B9" s="110" t="s">
        <v>214</v>
      </c>
      <c r="C9" s="112" t="s">
        <v>220</v>
      </c>
      <c r="D9" s="83" t="s">
        <v>38</v>
      </c>
      <c r="E9" s="83" t="s">
        <v>38</v>
      </c>
      <c r="F9" s="83" t="s">
        <v>38</v>
      </c>
      <c r="G9" s="83" t="s">
        <v>38</v>
      </c>
      <c r="H9" s="113" t="s">
        <v>225</v>
      </c>
      <c r="I9" s="114" t="s">
        <v>173</v>
      </c>
      <c r="J9" s="6">
        <v>2</v>
      </c>
    </row>
    <row r="10" spans="1:10" ht="15.75" customHeight="1">
      <c r="A10" s="32" t="str">
        <f t="shared" si="0"/>
        <v>DM10003</v>
      </c>
      <c r="B10" s="41" t="s">
        <v>0</v>
      </c>
      <c r="C10" s="41"/>
      <c r="D10" s="10"/>
      <c r="E10" s="10"/>
      <c r="F10" s="10"/>
      <c r="G10" s="10"/>
      <c r="H10" s="80"/>
      <c r="I10" s="81"/>
      <c r="J10" s="6">
        <v>3</v>
      </c>
    </row>
    <row r="11" spans="1:10" ht="15.75" customHeight="1">
      <c r="A11" s="32" t="str">
        <f t="shared" si="0"/>
        <v>DM10004</v>
      </c>
      <c r="B11" s="41" t="s">
        <v>0</v>
      </c>
      <c r="C11" s="41"/>
      <c r="D11" s="10"/>
      <c r="E11" s="10"/>
      <c r="F11" s="10"/>
      <c r="G11" s="10"/>
      <c r="H11" s="80"/>
      <c r="I11" s="81"/>
      <c r="J11" s="6">
        <v>4</v>
      </c>
    </row>
    <row r="12" spans="1:10" ht="15.75" customHeight="1">
      <c r="A12" s="32" t="str">
        <f t="shared" si="0"/>
        <v>DM10005</v>
      </c>
      <c r="B12" s="41" t="s">
        <v>0</v>
      </c>
      <c r="C12" s="41"/>
      <c r="D12" s="10"/>
      <c r="E12" s="10"/>
      <c r="F12" s="10"/>
      <c r="G12" s="10"/>
      <c r="H12" s="80"/>
      <c r="I12" s="81"/>
      <c r="J12" s="6">
        <v>5</v>
      </c>
    </row>
    <row r="13" spans="1:10" ht="15.75" customHeight="1">
      <c r="A13" s="32" t="str">
        <f t="shared" si="0"/>
        <v>DM10006</v>
      </c>
      <c r="B13" s="41" t="s">
        <v>0</v>
      </c>
      <c r="C13" s="41"/>
      <c r="D13" s="10"/>
      <c r="E13" s="10"/>
      <c r="F13" s="10"/>
      <c r="G13" s="10"/>
      <c r="H13" s="80"/>
      <c r="I13" s="81"/>
      <c r="J13" s="6">
        <v>6</v>
      </c>
    </row>
    <row r="14" spans="1:10" ht="15.75" customHeight="1">
      <c r="A14" s="32" t="str">
        <f t="shared" si="0"/>
        <v>DM10007</v>
      </c>
      <c r="B14" s="41" t="s">
        <v>0</v>
      </c>
      <c r="C14" s="41"/>
      <c r="D14" s="10"/>
      <c r="E14" s="10"/>
      <c r="F14" s="10"/>
      <c r="G14" s="10"/>
      <c r="H14" s="80"/>
      <c r="I14" s="81"/>
      <c r="J14" s="6">
        <v>7</v>
      </c>
    </row>
    <row r="15" spans="1:10" ht="15.75" customHeight="1">
      <c r="A15" s="32" t="str">
        <f t="shared" si="0"/>
        <v>DM10008</v>
      </c>
      <c r="B15" s="41" t="s">
        <v>0</v>
      </c>
      <c r="C15" s="41"/>
      <c r="D15" s="10"/>
      <c r="E15" s="10"/>
      <c r="F15" s="10"/>
      <c r="G15" s="10"/>
      <c r="H15" s="80"/>
      <c r="I15" s="81"/>
      <c r="J15" s="6">
        <v>8</v>
      </c>
    </row>
    <row r="16" spans="1:10" ht="15.75" customHeight="1">
      <c r="A16" s="32" t="str">
        <f t="shared" si="0"/>
        <v>DM10009</v>
      </c>
      <c r="B16" s="41" t="s">
        <v>0</v>
      </c>
      <c r="C16" s="41"/>
      <c r="D16" s="10"/>
      <c r="E16" s="10"/>
      <c r="F16" s="10"/>
      <c r="G16" s="10"/>
      <c r="H16" s="80"/>
      <c r="I16" s="81"/>
      <c r="J16" s="6">
        <v>9</v>
      </c>
    </row>
    <row r="17" spans="1:10" ht="15.75" customHeight="1">
      <c r="A17" s="32" t="str">
        <f t="shared" si="0"/>
        <v>DM10010</v>
      </c>
      <c r="B17" s="110" t="s">
        <v>244</v>
      </c>
      <c r="C17" s="112" t="s">
        <v>222</v>
      </c>
      <c r="D17" s="83" t="s">
        <v>38</v>
      </c>
      <c r="E17" s="83" t="s">
        <v>38</v>
      </c>
      <c r="F17" s="83" t="s">
        <v>38</v>
      </c>
      <c r="G17" s="83" t="s">
        <v>38</v>
      </c>
      <c r="H17" s="113" t="s">
        <v>224</v>
      </c>
      <c r="I17" s="114" t="s">
        <v>173</v>
      </c>
      <c r="J17" s="6">
        <v>10</v>
      </c>
    </row>
    <row r="18" spans="1:10" ht="15.75" customHeight="1">
      <c r="A18" s="32" t="str">
        <f t="shared" si="0"/>
        <v>DM10011</v>
      </c>
      <c r="B18" s="110" t="s">
        <v>259</v>
      </c>
      <c r="C18" s="112" t="s">
        <v>222</v>
      </c>
      <c r="D18" s="83" t="s">
        <v>38</v>
      </c>
      <c r="E18" s="83" t="s">
        <v>38</v>
      </c>
      <c r="F18" s="83" t="s">
        <v>38</v>
      </c>
      <c r="G18" s="83" t="s">
        <v>38</v>
      </c>
      <c r="H18" s="113" t="s">
        <v>260</v>
      </c>
      <c r="I18" s="114" t="s">
        <v>173</v>
      </c>
      <c r="J18" s="6">
        <v>11</v>
      </c>
    </row>
    <row r="19" spans="1:10" ht="15.75" customHeight="1">
      <c r="A19" s="32" t="str">
        <f t="shared" si="0"/>
        <v>DM10012</v>
      </c>
      <c r="B19" s="110" t="s">
        <v>245</v>
      </c>
      <c r="C19" s="112" t="s">
        <v>222</v>
      </c>
      <c r="D19" s="83" t="s">
        <v>38</v>
      </c>
      <c r="E19" s="83" t="s">
        <v>38</v>
      </c>
      <c r="F19" s="83" t="s">
        <v>38</v>
      </c>
      <c r="G19" s="83" t="s">
        <v>38</v>
      </c>
      <c r="H19" s="113" t="s">
        <v>225</v>
      </c>
      <c r="I19" s="114" t="s">
        <v>173</v>
      </c>
      <c r="J19" s="6">
        <v>12</v>
      </c>
    </row>
    <row r="20" spans="1:10" ht="15.75" customHeight="1">
      <c r="A20" s="32" t="str">
        <f t="shared" si="0"/>
        <v>DM10013</v>
      </c>
      <c r="B20" s="41" t="s">
        <v>0</v>
      </c>
      <c r="C20" s="41"/>
      <c r="D20" s="10"/>
      <c r="E20" s="10"/>
      <c r="F20" s="10"/>
      <c r="G20" s="10"/>
      <c r="H20" s="80"/>
      <c r="I20" s="81"/>
      <c r="J20" s="6">
        <v>13</v>
      </c>
    </row>
    <row r="21" spans="1:10" ht="15.75" customHeight="1">
      <c r="A21" s="32" t="str">
        <f t="shared" si="0"/>
        <v>DM10014</v>
      </c>
      <c r="B21" s="41" t="s">
        <v>0</v>
      </c>
      <c r="C21" s="41"/>
      <c r="D21" s="10"/>
      <c r="E21" s="10"/>
      <c r="F21" s="10"/>
      <c r="G21" s="10"/>
      <c r="H21" s="80"/>
      <c r="I21" s="81"/>
      <c r="J21" s="6">
        <v>14</v>
      </c>
    </row>
    <row r="22" spans="1:10" ht="15.75" customHeight="1">
      <c r="A22" s="32" t="str">
        <f t="shared" si="0"/>
        <v>DM10015</v>
      </c>
      <c r="B22" s="41" t="s">
        <v>0</v>
      </c>
      <c r="C22" s="41"/>
      <c r="D22" s="10"/>
      <c r="E22" s="10"/>
      <c r="F22" s="10"/>
      <c r="G22" s="10"/>
      <c r="H22" s="80"/>
      <c r="I22" s="81"/>
      <c r="J22" s="6">
        <v>15</v>
      </c>
    </row>
    <row r="23" spans="1:10" ht="15.75" customHeight="1">
      <c r="A23" s="32" t="str">
        <f t="shared" si="0"/>
        <v>DM10016</v>
      </c>
      <c r="B23" s="41" t="s">
        <v>0</v>
      </c>
      <c r="C23" s="41"/>
      <c r="D23" s="10"/>
      <c r="E23" s="10"/>
      <c r="F23" s="10"/>
      <c r="G23" s="10"/>
      <c r="H23" s="80"/>
      <c r="I23" s="81"/>
      <c r="J23" s="6">
        <v>16</v>
      </c>
    </row>
    <row r="24" spans="1:10" ht="15.75" customHeight="1">
      <c r="A24" s="32" t="str">
        <f t="shared" si="0"/>
        <v>DM10017</v>
      </c>
      <c r="B24" s="41" t="s">
        <v>0</v>
      </c>
      <c r="C24" s="41"/>
      <c r="D24" s="10"/>
      <c r="E24" s="10"/>
      <c r="F24" s="10"/>
      <c r="G24" s="10"/>
      <c r="H24" s="80"/>
      <c r="I24" s="81"/>
      <c r="J24" s="6">
        <v>17</v>
      </c>
    </row>
    <row r="25" spans="1:10" ht="15.75" customHeight="1">
      <c r="A25" s="32" t="str">
        <f t="shared" si="0"/>
        <v>DM10018</v>
      </c>
      <c r="B25" s="41" t="s">
        <v>0</v>
      </c>
      <c r="C25" s="41"/>
      <c r="D25" s="10"/>
      <c r="E25" s="10"/>
      <c r="F25" s="10"/>
      <c r="G25" s="10"/>
      <c r="H25" s="80"/>
      <c r="I25" s="81"/>
      <c r="J25" s="6">
        <v>18</v>
      </c>
    </row>
    <row r="26" spans="1:10" ht="15.75" customHeight="1" thickBot="1">
      <c r="A26" s="32" t="str">
        <f t="shared" si="0"/>
        <v>DM10019</v>
      </c>
      <c r="B26" s="41" t="s">
        <v>0</v>
      </c>
      <c r="C26" s="41"/>
      <c r="D26" s="10"/>
      <c r="E26" s="10"/>
      <c r="F26" s="10"/>
      <c r="G26" s="10"/>
      <c r="H26" s="80"/>
      <c r="I26" s="81"/>
      <c r="J26" s="6">
        <v>19</v>
      </c>
    </row>
    <row r="27" spans="1:10" ht="15.75" customHeight="1">
      <c r="A27" s="134" t="s">
        <v>251</v>
      </c>
      <c r="B27" s="135"/>
      <c r="C27" s="135"/>
      <c r="D27" s="135"/>
      <c r="E27" s="135"/>
      <c r="F27" s="135"/>
      <c r="G27" s="135"/>
      <c r="H27" s="135"/>
      <c r="I27" s="136"/>
    </row>
    <row r="28" spans="1:10" ht="15.75" customHeight="1">
      <c r="A28" s="32" t="str">
        <f t="shared" si="0"/>
        <v>DM10020</v>
      </c>
      <c r="B28" s="151" t="s">
        <v>221</v>
      </c>
      <c r="C28" s="151" t="s">
        <v>222</v>
      </c>
      <c r="D28" s="149" t="s">
        <v>25</v>
      </c>
      <c r="E28" s="150"/>
      <c r="F28" s="149" t="s">
        <v>65</v>
      </c>
      <c r="G28" s="150"/>
      <c r="H28" s="154" t="s">
        <v>223</v>
      </c>
      <c r="I28" s="157" t="s">
        <v>64</v>
      </c>
      <c r="J28" s="6">
        <v>20</v>
      </c>
    </row>
    <row r="29" spans="1:10" ht="15.75" customHeight="1">
      <c r="A29" s="32" t="str">
        <f t="shared" si="0"/>
        <v>DM10021</v>
      </c>
      <c r="B29" s="152"/>
      <c r="C29" s="152"/>
      <c r="D29" s="149" t="s">
        <v>26</v>
      </c>
      <c r="E29" s="150"/>
      <c r="F29" s="149" t="s">
        <v>27</v>
      </c>
      <c r="G29" s="150"/>
      <c r="H29" s="155"/>
      <c r="I29" s="158"/>
      <c r="J29" s="6">
        <v>21</v>
      </c>
    </row>
    <row r="30" spans="1:10" ht="15.75" customHeight="1">
      <c r="A30" s="32" t="str">
        <f t="shared" si="0"/>
        <v>DM10022</v>
      </c>
      <c r="B30" s="152"/>
      <c r="C30" s="152"/>
      <c r="D30" s="149" t="s">
        <v>28</v>
      </c>
      <c r="E30" s="150"/>
      <c r="F30" s="149" t="s">
        <v>29</v>
      </c>
      <c r="G30" s="150"/>
      <c r="H30" s="155"/>
      <c r="I30" s="158"/>
      <c r="J30" s="6">
        <v>22</v>
      </c>
    </row>
    <row r="31" spans="1:10" ht="15.75" customHeight="1">
      <c r="A31" s="32" t="str">
        <f t="shared" si="0"/>
        <v>DM10023</v>
      </c>
      <c r="B31" s="152"/>
      <c r="C31" s="152"/>
      <c r="D31" s="149" t="s">
        <v>30</v>
      </c>
      <c r="E31" s="150"/>
      <c r="F31" s="149" t="s">
        <v>31</v>
      </c>
      <c r="G31" s="150"/>
      <c r="H31" s="155"/>
      <c r="I31" s="158"/>
      <c r="J31" s="6">
        <v>23</v>
      </c>
    </row>
    <row r="32" spans="1:10" ht="15.75" customHeight="1">
      <c r="A32" s="32" t="str">
        <f t="shared" si="0"/>
        <v>DM10024</v>
      </c>
      <c r="B32" s="152"/>
      <c r="C32" s="152"/>
      <c r="D32" s="149" t="s">
        <v>11</v>
      </c>
      <c r="E32" s="150"/>
      <c r="F32" s="149" t="s">
        <v>12</v>
      </c>
      <c r="G32" s="150"/>
      <c r="H32" s="155"/>
      <c r="I32" s="158"/>
      <c r="J32" s="6">
        <v>24</v>
      </c>
    </row>
    <row r="33" spans="1:10" ht="15.75" customHeight="1">
      <c r="A33" s="32" t="str">
        <f t="shared" si="0"/>
        <v>DM10025</v>
      </c>
      <c r="B33" s="152"/>
      <c r="C33" s="152"/>
      <c r="D33" s="149" t="s">
        <v>13</v>
      </c>
      <c r="E33" s="150"/>
      <c r="F33" s="149" t="s">
        <v>14</v>
      </c>
      <c r="G33" s="150"/>
      <c r="H33" s="155"/>
      <c r="I33" s="158"/>
      <c r="J33" s="6">
        <v>25</v>
      </c>
    </row>
    <row r="34" spans="1:10" ht="15.75" customHeight="1">
      <c r="A34" s="32" t="str">
        <f t="shared" si="0"/>
        <v>DM10026</v>
      </c>
      <c r="B34" s="152"/>
      <c r="C34" s="152"/>
      <c r="D34" s="149" t="s">
        <v>16</v>
      </c>
      <c r="E34" s="150"/>
      <c r="F34" s="149" t="s">
        <v>17</v>
      </c>
      <c r="G34" s="150"/>
      <c r="H34" s="155"/>
      <c r="I34" s="158"/>
      <c r="J34" s="6">
        <v>26</v>
      </c>
    </row>
    <row r="35" spans="1:10" ht="15.75" customHeight="1">
      <c r="A35" s="32" t="str">
        <f t="shared" si="0"/>
        <v>DM10027</v>
      </c>
      <c r="B35" s="152"/>
      <c r="C35" s="152"/>
      <c r="D35" s="149" t="s">
        <v>18</v>
      </c>
      <c r="E35" s="150"/>
      <c r="F35" s="149" t="s">
        <v>19</v>
      </c>
      <c r="G35" s="150"/>
      <c r="H35" s="155"/>
      <c r="I35" s="158"/>
      <c r="J35" s="6">
        <v>27</v>
      </c>
    </row>
    <row r="36" spans="1:10" ht="15.75" customHeight="1">
      <c r="A36" s="32" t="str">
        <f t="shared" si="0"/>
        <v>DM10028</v>
      </c>
      <c r="B36" s="152"/>
      <c r="C36" s="152"/>
      <c r="D36" s="149" t="s">
        <v>20</v>
      </c>
      <c r="E36" s="150"/>
      <c r="F36" s="149" t="s">
        <v>21</v>
      </c>
      <c r="G36" s="150"/>
      <c r="H36" s="155"/>
      <c r="I36" s="158"/>
      <c r="J36" s="6">
        <v>28</v>
      </c>
    </row>
    <row r="37" spans="1:10" ht="15.75" customHeight="1">
      <c r="A37" s="32" t="str">
        <f t="shared" si="0"/>
        <v>DM10029</v>
      </c>
      <c r="B37" s="153"/>
      <c r="C37" s="153"/>
      <c r="D37" s="149" t="s">
        <v>22</v>
      </c>
      <c r="E37" s="150"/>
      <c r="F37" s="149" t="s">
        <v>23</v>
      </c>
      <c r="G37" s="150"/>
      <c r="H37" s="156"/>
      <c r="I37" s="159"/>
      <c r="J37" s="6">
        <v>29</v>
      </c>
    </row>
    <row r="38" spans="1:10" ht="15.75" customHeight="1">
      <c r="A38" s="32" t="str">
        <f t="shared" si="0"/>
        <v>DM10030</v>
      </c>
      <c r="B38" s="151" t="s">
        <v>226</v>
      </c>
      <c r="C38" s="151" t="s">
        <v>222</v>
      </c>
      <c r="D38" s="149" t="s">
        <v>25</v>
      </c>
      <c r="E38" s="150"/>
      <c r="F38" s="149" t="s">
        <v>65</v>
      </c>
      <c r="G38" s="150"/>
      <c r="H38" s="154" t="s">
        <v>227</v>
      </c>
      <c r="I38" s="157" t="s">
        <v>64</v>
      </c>
      <c r="J38" s="6">
        <v>30</v>
      </c>
    </row>
    <row r="39" spans="1:10" ht="15.75" customHeight="1">
      <c r="A39" s="32" t="str">
        <f t="shared" si="0"/>
        <v>DM10031</v>
      </c>
      <c r="B39" s="152"/>
      <c r="C39" s="152"/>
      <c r="D39" s="149" t="s">
        <v>26</v>
      </c>
      <c r="E39" s="150"/>
      <c r="F39" s="149" t="s">
        <v>27</v>
      </c>
      <c r="G39" s="150"/>
      <c r="H39" s="155"/>
      <c r="I39" s="158"/>
      <c r="J39" s="6">
        <v>31</v>
      </c>
    </row>
    <row r="40" spans="1:10" ht="15.75" customHeight="1">
      <c r="A40" s="32" t="str">
        <f t="shared" si="0"/>
        <v>DM10032</v>
      </c>
      <c r="B40" s="152"/>
      <c r="C40" s="152"/>
      <c r="D40" s="149" t="s">
        <v>28</v>
      </c>
      <c r="E40" s="150"/>
      <c r="F40" s="149" t="s">
        <v>29</v>
      </c>
      <c r="G40" s="150"/>
      <c r="H40" s="155"/>
      <c r="I40" s="158"/>
      <c r="J40" s="6">
        <v>32</v>
      </c>
    </row>
    <row r="41" spans="1:10" ht="15.75" customHeight="1">
      <c r="A41" s="32" t="str">
        <f t="shared" si="0"/>
        <v>DM10033</v>
      </c>
      <c r="B41" s="152"/>
      <c r="C41" s="152"/>
      <c r="D41" s="149" t="s">
        <v>30</v>
      </c>
      <c r="E41" s="150"/>
      <c r="F41" s="149" t="s">
        <v>31</v>
      </c>
      <c r="G41" s="150"/>
      <c r="H41" s="155"/>
      <c r="I41" s="158"/>
      <c r="J41" s="6">
        <v>33</v>
      </c>
    </row>
    <row r="42" spans="1:10" ht="15.75" customHeight="1">
      <c r="A42" s="32" t="str">
        <f t="shared" si="0"/>
        <v>DM10034</v>
      </c>
      <c r="B42" s="152"/>
      <c r="C42" s="152"/>
      <c r="D42" s="149" t="s">
        <v>11</v>
      </c>
      <c r="E42" s="150"/>
      <c r="F42" s="149" t="s">
        <v>12</v>
      </c>
      <c r="G42" s="150"/>
      <c r="H42" s="155"/>
      <c r="I42" s="158"/>
      <c r="J42" s="6">
        <v>34</v>
      </c>
    </row>
    <row r="43" spans="1:10" ht="15.75" customHeight="1">
      <c r="A43" s="32" t="str">
        <f t="shared" si="0"/>
        <v>DM10035</v>
      </c>
      <c r="B43" s="152"/>
      <c r="C43" s="152"/>
      <c r="D43" s="149" t="s">
        <v>13</v>
      </c>
      <c r="E43" s="150"/>
      <c r="F43" s="149" t="s">
        <v>14</v>
      </c>
      <c r="G43" s="150"/>
      <c r="H43" s="155"/>
      <c r="I43" s="158"/>
      <c r="J43" s="6">
        <v>35</v>
      </c>
    </row>
    <row r="44" spans="1:10" ht="15.75" customHeight="1">
      <c r="A44" s="32" t="str">
        <f t="shared" si="0"/>
        <v>DM10036</v>
      </c>
      <c r="B44" s="152"/>
      <c r="C44" s="152"/>
      <c r="D44" s="149" t="s">
        <v>16</v>
      </c>
      <c r="E44" s="150"/>
      <c r="F44" s="149" t="s">
        <v>17</v>
      </c>
      <c r="G44" s="150"/>
      <c r="H44" s="155"/>
      <c r="I44" s="158"/>
      <c r="J44" s="6">
        <v>36</v>
      </c>
    </row>
    <row r="45" spans="1:10" ht="15.75" customHeight="1">
      <c r="A45" s="32" t="str">
        <f t="shared" si="0"/>
        <v>DM10037</v>
      </c>
      <c r="B45" s="152"/>
      <c r="C45" s="152"/>
      <c r="D45" s="149" t="s">
        <v>18</v>
      </c>
      <c r="E45" s="150"/>
      <c r="F45" s="149" t="s">
        <v>19</v>
      </c>
      <c r="G45" s="150"/>
      <c r="H45" s="155"/>
      <c r="I45" s="158"/>
      <c r="J45" s="6">
        <v>37</v>
      </c>
    </row>
    <row r="46" spans="1:10" ht="15.75" customHeight="1">
      <c r="A46" s="32" t="str">
        <f t="shared" si="0"/>
        <v>DM10038</v>
      </c>
      <c r="B46" s="152"/>
      <c r="C46" s="152"/>
      <c r="D46" s="149" t="s">
        <v>20</v>
      </c>
      <c r="E46" s="150"/>
      <c r="F46" s="149" t="s">
        <v>21</v>
      </c>
      <c r="G46" s="150"/>
      <c r="H46" s="155"/>
      <c r="I46" s="158"/>
      <c r="J46" s="6">
        <v>38</v>
      </c>
    </row>
    <row r="47" spans="1:10" ht="15.75" customHeight="1">
      <c r="A47" s="32" t="str">
        <f t="shared" si="0"/>
        <v>DM10039</v>
      </c>
      <c r="B47" s="153"/>
      <c r="C47" s="153"/>
      <c r="D47" s="149" t="s">
        <v>22</v>
      </c>
      <c r="E47" s="150"/>
      <c r="F47" s="149" t="s">
        <v>23</v>
      </c>
      <c r="G47" s="150"/>
      <c r="H47" s="156"/>
      <c r="I47" s="159"/>
      <c r="J47" s="6">
        <v>39</v>
      </c>
    </row>
    <row r="48" spans="1:10" ht="15.75" customHeight="1">
      <c r="A48" s="32" t="str">
        <f t="shared" si="0"/>
        <v>DM10040</v>
      </c>
      <c r="B48" s="151" t="s">
        <v>228</v>
      </c>
      <c r="C48" s="151" t="s">
        <v>222</v>
      </c>
      <c r="D48" s="149" t="s">
        <v>25</v>
      </c>
      <c r="E48" s="150"/>
      <c r="F48" s="149" t="s">
        <v>65</v>
      </c>
      <c r="G48" s="150"/>
      <c r="H48" s="154" t="s">
        <v>229</v>
      </c>
      <c r="I48" s="157" t="s">
        <v>64</v>
      </c>
      <c r="J48" s="6">
        <v>40</v>
      </c>
    </row>
    <row r="49" spans="1:10" ht="15.75" customHeight="1">
      <c r="A49" s="32" t="str">
        <f t="shared" si="0"/>
        <v>DM10041</v>
      </c>
      <c r="B49" s="152"/>
      <c r="C49" s="152"/>
      <c r="D49" s="149" t="s">
        <v>26</v>
      </c>
      <c r="E49" s="150"/>
      <c r="F49" s="149" t="s">
        <v>27</v>
      </c>
      <c r="G49" s="150"/>
      <c r="H49" s="155"/>
      <c r="I49" s="158"/>
      <c r="J49" s="6">
        <v>41</v>
      </c>
    </row>
    <row r="50" spans="1:10" ht="15.75" customHeight="1">
      <c r="A50" s="32" t="str">
        <f t="shared" si="0"/>
        <v>DM10042</v>
      </c>
      <c r="B50" s="152"/>
      <c r="C50" s="152"/>
      <c r="D50" s="149" t="s">
        <v>28</v>
      </c>
      <c r="E50" s="150"/>
      <c r="F50" s="149" t="s">
        <v>29</v>
      </c>
      <c r="G50" s="150"/>
      <c r="H50" s="155"/>
      <c r="I50" s="158"/>
      <c r="J50" s="6">
        <v>42</v>
      </c>
    </row>
    <row r="51" spans="1:10" ht="15.75" customHeight="1">
      <c r="A51" s="32" t="str">
        <f t="shared" si="0"/>
        <v>DM10043</v>
      </c>
      <c r="B51" s="152"/>
      <c r="C51" s="152"/>
      <c r="D51" s="149" t="s">
        <v>30</v>
      </c>
      <c r="E51" s="150"/>
      <c r="F51" s="149" t="s">
        <v>31</v>
      </c>
      <c r="G51" s="150"/>
      <c r="H51" s="155"/>
      <c r="I51" s="158"/>
      <c r="J51" s="6">
        <v>43</v>
      </c>
    </row>
    <row r="52" spans="1:10" ht="15.75" customHeight="1">
      <c r="A52" s="32" t="str">
        <f t="shared" si="0"/>
        <v>DM10044</v>
      </c>
      <c r="B52" s="152"/>
      <c r="C52" s="152"/>
      <c r="D52" s="149" t="s">
        <v>11</v>
      </c>
      <c r="E52" s="150"/>
      <c r="F52" s="149" t="s">
        <v>12</v>
      </c>
      <c r="G52" s="150"/>
      <c r="H52" s="155"/>
      <c r="I52" s="158"/>
      <c r="J52" s="6">
        <v>44</v>
      </c>
    </row>
    <row r="53" spans="1:10" ht="15.75" customHeight="1">
      <c r="A53" s="32" t="str">
        <f t="shared" si="0"/>
        <v>DM10045</v>
      </c>
      <c r="B53" s="152"/>
      <c r="C53" s="152"/>
      <c r="D53" s="149" t="s">
        <v>13</v>
      </c>
      <c r="E53" s="150"/>
      <c r="F53" s="149" t="s">
        <v>14</v>
      </c>
      <c r="G53" s="150"/>
      <c r="H53" s="155"/>
      <c r="I53" s="158"/>
      <c r="J53" s="6">
        <v>45</v>
      </c>
    </row>
    <row r="54" spans="1:10" ht="15.75" customHeight="1">
      <c r="A54" s="32" t="str">
        <f t="shared" si="0"/>
        <v>DM10046</v>
      </c>
      <c r="B54" s="152"/>
      <c r="C54" s="152"/>
      <c r="D54" s="149" t="s">
        <v>16</v>
      </c>
      <c r="E54" s="150"/>
      <c r="F54" s="149" t="s">
        <v>17</v>
      </c>
      <c r="G54" s="150"/>
      <c r="H54" s="155"/>
      <c r="I54" s="158"/>
      <c r="J54" s="6">
        <v>46</v>
      </c>
    </row>
    <row r="55" spans="1:10" ht="15.75" customHeight="1">
      <c r="A55" s="32" t="str">
        <f t="shared" si="0"/>
        <v>DM10047</v>
      </c>
      <c r="B55" s="152"/>
      <c r="C55" s="152"/>
      <c r="D55" s="149" t="s">
        <v>18</v>
      </c>
      <c r="E55" s="150"/>
      <c r="F55" s="149" t="s">
        <v>19</v>
      </c>
      <c r="G55" s="150"/>
      <c r="H55" s="155"/>
      <c r="I55" s="158"/>
      <c r="J55" s="6">
        <v>47</v>
      </c>
    </row>
    <row r="56" spans="1:10" ht="15.75" customHeight="1">
      <c r="A56" s="32" t="str">
        <f t="shared" si="0"/>
        <v>DM10048</v>
      </c>
      <c r="B56" s="152"/>
      <c r="C56" s="152"/>
      <c r="D56" s="149" t="s">
        <v>20</v>
      </c>
      <c r="E56" s="150"/>
      <c r="F56" s="149" t="s">
        <v>21</v>
      </c>
      <c r="G56" s="150"/>
      <c r="H56" s="155"/>
      <c r="I56" s="158"/>
      <c r="J56" s="6">
        <v>48</v>
      </c>
    </row>
    <row r="57" spans="1:10" ht="15.75" customHeight="1">
      <c r="A57" s="32" t="str">
        <f t="shared" si="0"/>
        <v>DM10049</v>
      </c>
      <c r="B57" s="153"/>
      <c r="C57" s="153"/>
      <c r="D57" s="149" t="s">
        <v>22</v>
      </c>
      <c r="E57" s="150"/>
      <c r="F57" s="149" t="s">
        <v>23</v>
      </c>
      <c r="G57" s="150"/>
      <c r="H57" s="156"/>
      <c r="I57" s="159"/>
      <c r="J57" s="6">
        <v>49</v>
      </c>
    </row>
    <row r="58" spans="1:10" ht="15" customHeight="1">
      <c r="A58" s="32" t="str">
        <f t="shared" ref="A58:A121" si="1">LEFT($C$3, 2) &amp; (MID($C$3, 3, LEN($C$3)) + J58)</f>
        <v>DM10050</v>
      </c>
      <c r="B58" s="151" t="s">
        <v>230</v>
      </c>
      <c r="C58" s="151" t="s">
        <v>222</v>
      </c>
      <c r="D58" s="149" t="s">
        <v>25</v>
      </c>
      <c r="E58" s="150"/>
      <c r="F58" s="149" t="s">
        <v>65</v>
      </c>
      <c r="G58" s="150"/>
      <c r="H58" s="154" t="s">
        <v>231</v>
      </c>
      <c r="I58" s="157" t="s">
        <v>64</v>
      </c>
      <c r="J58" s="6">
        <v>50</v>
      </c>
    </row>
    <row r="59" spans="1:10" ht="15" customHeight="1">
      <c r="A59" s="32" t="str">
        <f t="shared" si="1"/>
        <v>DM10051</v>
      </c>
      <c r="B59" s="152"/>
      <c r="C59" s="152"/>
      <c r="D59" s="149" t="s">
        <v>26</v>
      </c>
      <c r="E59" s="150"/>
      <c r="F59" s="149" t="s">
        <v>27</v>
      </c>
      <c r="G59" s="150"/>
      <c r="H59" s="155"/>
      <c r="I59" s="158"/>
      <c r="J59" s="6">
        <v>51</v>
      </c>
    </row>
    <row r="60" spans="1:10" ht="15" customHeight="1">
      <c r="A60" s="32" t="str">
        <f t="shared" si="1"/>
        <v>DM10052</v>
      </c>
      <c r="B60" s="152"/>
      <c r="C60" s="152"/>
      <c r="D60" s="149" t="s">
        <v>28</v>
      </c>
      <c r="E60" s="150"/>
      <c r="F60" s="149" t="s">
        <v>29</v>
      </c>
      <c r="G60" s="150"/>
      <c r="H60" s="155"/>
      <c r="I60" s="158"/>
      <c r="J60" s="6">
        <v>52</v>
      </c>
    </row>
    <row r="61" spans="1:10" ht="15" customHeight="1">
      <c r="A61" s="32" t="str">
        <f t="shared" si="1"/>
        <v>DM10053</v>
      </c>
      <c r="B61" s="152"/>
      <c r="C61" s="152"/>
      <c r="D61" s="149" t="s">
        <v>30</v>
      </c>
      <c r="E61" s="150"/>
      <c r="F61" s="149" t="s">
        <v>31</v>
      </c>
      <c r="G61" s="150"/>
      <c r="H61" s="155"/>
      <c r="I61" s="158"/>
      <c r="J61" s="6">
        <v>53</v>
      </c>
    </row>
    <row r="62" spans="1:10" ht="15" customHeight="1">
      <c r="A62" s="32" t="str">
        <f t="shared" si="1"/>
        <v>DM10054</v>
      </c>
      <c r="B62" s="152"/>
      <c r="C62" s="152"/>
      <c r="D62" s="149" t="s">
        <v>11</v>
      </c>
      <c r="E62" s="150"/>
      <c r="F62" s="149" t="s">
        <v>12</v>
      </c>
      <c r="G62" s="150"/>
      <c r="H62" s="155"/>
      <c r="I62" s="158"/>
      <c r="J62" s="6">
        <v>54</v>
      </c>
    </row>
    <row r="63" spans="1:10" ht="15" customHeight="1">
      <c r="A63" s="32" t="str">
        <f t="shared" si="1"/>
        <v>DM10055</v>
      </c>
      <c r="B63" s="152"/>
      <c r="C63" s="152"/>
      <c r="D63" s="149" t="s">
        <v>13</v>
      </c>
      <c r="E63" s="150"/>
      <c r="F63" s="149" t="s">
        <v>14</v>
      </c>
      <c r="G63" s="150"/>
      <c r="H63" s="155"/>
      <c r="I63" s="158"/>
      <c r="J63" s="6">
        <v>55</v>
      </c>
    </row>
    <row r="64" spans="1:10" ht="15" customHeight="1">
      <c r="A64" s="32" t="str">
        <f t="shared" si="1"/>
        <v>DM10056</v>
      </c>
      <c r="B64" s="152"/>
      <c r="C64" s="152"/>
      <c r="D64" s="149" t="s">
        <v>16</v>
      </c>
      <c r="E64" s="150"/>
      <c r="F64" s="149" t="s">
        <v>17</v>
      </c>
      <c r="G64" s="150"/>
      <c r="H64" s="155"/>
      <c r="I64" s="158"/>
      <c r="J64" s="6">
        <v>56</v>
      </c>
    </row>
    <row r="65" spans="1:10" ht="15" customHeight="1">
      <c r="A65" s="32" t="str">
        <f t="shared" si="1"/>
        <v>DM10057</v>
      </c>
      <c r="B65" s="152"/>
      <c r="C65" s="152"/>
      <c r="D65" s="149" t="s">
        <v>18</v>
      </c>
      <c r="E65" s="150"/>
      <c r="F65" s="149" t="s">
        <v>19</v>
      </c>
      <c r="G65" s="150"/>
      <c r="H65" s="155"/>
      <c r="I65" s="158"/>
      <c r="J65" s="6">
        <v>57</v>
      </c>
    </row>
    <row r="66" spans="1:10" ht="15" customHeight="1">
      <c r="A66" s="32" t="str">
        <f t="shared" si="1"/>
        <v>DM10058</v>
      </c>
      <c r="B66" s="152"/>
      <c r="C66" s="152"/>
      <c r="D66" s="149" t="s">
        <v>20</v>
      </c>
      <c r="E66" s="150"/>
      <c r="F66" s="149" t="s">
        <v>21</v>
      </c>
      <c r="G66" s="150"/>
      <c r="H66" s="155"/>
      <c r="I66" s="158"/>
      <c r="J66" s="6">
        <v>58</v>
      </c>
    </row>
    <row r="67" spans="1:10" ht="15" customHeight="1">
      <c r="A67" s="32" t="str">
        <f t="shared" si="1"/>
        <v>DM10059</v>
      </c>
      <c r="B67" s="153"/>
      <c r="C67" s="153"/>
      <c r="D67" s="149" t="s">
        <v>22</v>
      </c>
      <c r="E67" s="150"/>
      <c r="F67" s="149" t="s">
        <v>23</v>
      </c>
      <c r="G67" s="150"/>
      <c r="H67" s="156"/>
      <c r="I67" s="159"/>
      <c r="J67" s="6">
        <v>59</v>
      </c>
    </row>
    <row r="68" spans="1:10" ht="15" customHeight="1">
      <c r="A68" s="32" t="str">
        <f t="shared" si="1"/>
        <v>DM10060</v>
      </c>
      <c r="B68" s="151" t="s">
        <v>232</v>
      </c>
      <c r="C68" s="151" t="s">
        <v>222</v>
      </c>
      <c r="D68" s="149" t="s">
        <v>25</v>
      </c>
      <c r="E68" s="150"/>
      <c r="F68" s="149" t="s">
        <v>65</v>
      </c>
      <c r="G68" s="150"/>
      <c r="H68" s="154" t="s">
        <v>233</v>
      </c>
      <c r="I68" s="157" t="s">
        <v>64</v>
      </c>
      <c r="J68" s="6">
        <v>60</v>
      </c>
    </row>
    <row r="69" spans="1:10" ht="15" customHeight="1">
      <c r="A69" s="32" t="str">
        <f t="shared" si="1"/>
        <v>DM10061</v>
      </c>
      <c r="B69" s="152"/>
      <c r="C69" s="152"/>
      <c r="D69" s="149" t="s">
        <v>26</v>
      </c>
      <c r="E69" s="150"/>
      <c r="F69" s="149" t="s">
        <v>27</v>
      </c>
      <c r="G69" s="150"/>
      <c r="H69" s="155"/>
      <c r="I69" s="158"/>
      <c r="J69" s="6">
        <v>61</v>
      </c>
    </row>
    <row r="70" spans="1:10" ht="15" customHeight="1">
      <c r="A70" s="32" t="str">
        <f t="shared" si="1"/>
        <v>DM10062</v>
      </c>
      <c r="B70" s="152"/>
      <c r="C70" s="152"/>
      <c r="D70" s="149" t="s">
        <v>28</v>
      </c>
      <c r="E70" s="150"/>
      <c r="F70" s="149" t="s">
        <v>29</v>
      </c>
      <c r="G70" s="150"/>
      <c r="H70" s="155"/>
      <c r="I70" s="158"/>
      <c r="J70" s="6">
        <v>62</v>
      </c>
    </row>
    <row r="71" spans="1:10" ht="15" customHeight="1">
      <c r="A71" s="32" t="str">
        <f t="shared" si="1"/>
        <v>DM10063</v>
      </c>
      <c r="B71" s="152"/>
      <c r="C71" s="152"/>
      <c r="D71" s="149" t="s">
        <v>30</v>
      </c>
      <c r="E71" s="150"/>
      <c r="F71" s="149" t="s">
        <v>31</v>
      </c>
      <c r="G71" s="150"/>
      <c r="H71" s="155"/>
      <c r="I71" s="158"/>
      <c r="J71" s="6">
        <v>63</v>
      </c>
    </row>
    <row r="72" spans="1:10" ht="15" customHeight="1">
      <c r="A72" s="32" t="str">
        <f t="shared" si="1"/>
        <v>DM10064</v>
      </c>
      <c r="B72" s="152"/>
      <c r="C72" s="152"/>
      <c r="D72" s="149" t="s">
        <v>11</v>
      </c>
      <c r="E72" s="150"/>
      <c r="F72" s="149" t="s">
        <v>12</v>
      </c>
      <c r="G72" s="150"/>
      <c r="H72" s="155"/>
      <c r="I72" s="158"/>
      <c r="J72" s="6">
        <v>64</v>
      </c>
    </row>
    <row r="73" spans="1:10" ht="15" customHeight="1">
      <c r="A73" s="32" t="str">
        <f t="shared" si="1"/>
        <v>DM10065</v>
      </c>
      <c r="B73" s="152"/>
      <c r="C73" s="152"/>
      <c r="D73" s="149" t="s">
        <v>13</v>
      </c>
      <c r="E73" s="150"/>
      <c r="F73" s="149" t="s">
        <v>14</v>
      </c>
      <c r="G73" s="150"/>
      <c r="H73" s="155"/>
      <c r="I73" s="158"/>
      <c r="J73" s="6">
        <v>65</v>
      </c>
    </row>
    <row r="74" spans="1:10" ht="15" customHeight="1">
      <c r="A74" s="32" t="str">
        <f t="shared" si="1"/>
        <v>DM10066</v>
      </c>
      <c r="B74" s="152"/>
      <c r="C74" s="152"/>
      <c r="D74" s="149" t="s">
        <v>16</v>
      </c>
      <c r="E74" s="150"/>
      <c r="F74" s="149" t="s">
        <v>17</v>
      </c>
      <c r="G74" s="150"/>
      <c r="H74" s="155"/>
      <c r="I74" s="158"/>
      <c r="J74" s="6">
        <v>66</v>
      </c>
    </row>
    <row r="75" spans="1:10" ht="15" customHeight="1">
      <c r="A75" s="32" t="str">
        <f t="shared" si="1"/>
        <v>DM10067</v>
      </c>
      <c r="B75" s="152"/>
      <c r="C75" s="152"/>
      <c r="D75" s="149" t="s">
        <v>18</v>
      </c>
      <c r="E75" s="150"/>
      <c r="F75" s="149" t="s">
        <v>19</v>
      </c>
      <c r="G75" s="150"/>
      <c r="H75" s="155"/>
      <c r="I75" s="158"/>
      <c r="J75" s="6">
        <v>67</v>
      </c>
    </row>
    <row r="76" spans="1:10" ht="15" customHeight="1">
      <c r="A76" s="32" t="str">
        <f t="shared" si="1"/>
        <v>DM10068</v>
      </c>
      <c r="B76" s="152"/>
      <c r="C76" s="152"/>
      <c r="D76" s="149" t="s">
        <v>20</v>
      </c>
      <c r="E76" s="150"/>
      <c r="F76" s="149" t="s">
        <v>21</v>
      </c>
      <c r="G76" s="150"/>
      <c r="H76" s="155"/>
      <c r="I76" s="158"/>
      <c r="J76" s="6">
        <v>68</v>
      </c>
    </row>
    <row r="77" spans="1:10" ht="15" customHeight="1">
      <c r="A77" s="32" t="str">
        <f t="shared" si="1"/>
        <v>DM10069</v>
      </c>
      <c r="B77" s="153"/>
      <c r="C77" s="153"/>
      <c r="D77" s="149" t="s">
        <v>22</v>
      </c>
      <c r="E77" s="150"/>
      <c r="F77" s="149" t="s">
        <v>23</v>
      </c>
      <c r="G77" s="150"/>
      <c r="H77" s="156"/>
      <c r="I77" s="159"/>
      <c r="J77" s="6">
        <v>69</v>
      </c>
    </row>
    <row r="78" spans="1:10" ht="15" customHeight="1">
      <c r="A78" s="32" t="str">
        <f t="shared" si="1"/>
        <v>DM10070</v>
      </c>
      <c r="B78" s="151" t="s">
        <v>234</v>
      </c>
      <c r="C78" s="151" t="s">
        <v>222</v>
      </c>
      <c r="D78" s="149" t="s">
        <v>25</v>
      </c>
      <c r="E78" s="150"/>
      <c r="F78" s="149" t="s">
        <v>65</v>
      </c>
      <c r="G78" s="150"/>
      <c r="H78" s="154" t="s">
        <v>235</v>
      </c>
      <c r="I78" s="157" t="s">
        <v>64</v>
      </c>
      <c r="J78" s="6">
        <v>70</v>
      </c>
    </row>
    <row r="79" spans="1:10" ht="15" customHeight="1">
      <c r="A79" s="32" t="str">
        <f t="shared" si="1"/>
        <v>DM10071</v>
      </c>
      <c r="B79" s="152"/>
      <c r="C79" s="152"/>
      <c r="D79" s="149" t="s">
        <v>26</v>
      </c>
      <c r="E79" s="150"/>
      <c r="F79" s="149" t="s">
        <v>27</v>
      </c>
      <c r="G79" s="150"/>
      <c r="H79" s="155"/>
      <c r="I79" s="158"/>
      <c r="J79" s="6">
        <v>71</v>
      </c>
    </row>
    <row r="80" spans="1:10" ht="15" customHeight="1">
      <c r="A80" s="32" t="str">
        <f t="shared" si="1"/>
        <v>DM10072</v>
      </c>
      <c r="B80" s="152"/>
      <c r="C80" s="152"/>
      <c r="D80" s="149" t="s">
        <v>28</v>
      </c>
      <c r="E80" s="150"/>
      <c r="F80" s="149" t="s">
        <v>29</v>
      </c>
      <c r="G80" s="150"/>
      <c r="H80" s="155"/>
      <c r="I80" s="158"/>
      <c r="J80" s="6">
        <v>72</v>
      </c>
    </row>
    <row r="81" spans="1:10" ht="15" customHeight="1">
      <c r="A81" s="32" t="str">
        <f t="shared" si="1"/>
        <v>DM10073</v>
      </c>
      <c r="B81" s="152"/>
      <c r="C81" s="152"/>
      <c r="D81" s="149" t="s">
        <v>30</v>
      </c>
      <c r="E81" s="150"/>
      <c r="F81" s="149" t="s">
        <v>31</v>
      </c>
      <c r="G81" s="150"/>
      <c r="H81" s="155"/>
      <c r="I81" s="158"/>
      <c r="J81" s="6">
        <v>73</v>
      </c>
    </row>
    <row r="82" spans="1:10" ht="15" customHeight="1">
      <c r="A82" s="32" t="str">
        <f t="shared" si="1"/>
        <v>DM10074</v>
      </c>
      <c r="B82" s="152"/>
      <c r="C82" s="152"/>
      <c r="D82" s="149" t="s">
        <v>11</v>
      </c>
      <c r="E82" s="150"/>
      <c r="F82" s="149" t="s">
        <v>12</v>
      </c>
      <c r="G82" s="150"/>
      <c r="H82" s="155"/>
      <c r="I82" s="158"/>
      <c r="J82" s="6">
        <v>74</v>
      </c>
    </row>
    <row r="83" spans="1:10" ht="15" customHeight="1">
      <c r="A83" s="32" t="str">
        <f t="shared" si="1"/>
        <v>DM10075</v>
      </c>
      <c r="B83" s="152"/>
      <c r="C83" s="152"/>
      <c r="D83" s="149" t="s">
        <v>13</v>
      </c>
      <c r="E83" s="150"/>
      <c r="F83" s="149" t="s">
        <v>14</v>
      </c>
      <c r="G83" s="150"/>
      <c r="H83" s="155"/>
      <c r="I83" s="158"/>
      <c r="J83" s="6">
        <v>75</v>
      </c>
    </row>
    <row r="84" spans="1:10" ht="15" customHeight="1">
      <c r="A84" s="32" t="str">
        <f t="shared" si="1"/>
        <v>DM10076</v>
      </c>
      <c r="B84" s="152"/>
      <c r="C84" s="152"/>
      <c r="D84" s="149" t="s">
        <v>16</v>
      </c>
      <c r="E84" s="150"/>
      <c r="F84" s="149" t="s">
        <v>17</v>
      </c>
      <c r="G84" s="150"/>
      <c r="H84" s="155"/>
      <c r="I84" s="158"/>
      <c r="J84" s="6">
        <v>76</v>
      </c>
    </row>
    <row r="85" spans="1:10" ht="15" customHeight="1">
      <c r="A85" s="32" t="str">
        <f t="shared" si="1"/>
        <v>DM10077</v>
      </c>
      <c r="B85" s="152"/>
      <c r="C85" s="152"/>
      <c r="D85" s="149" t="s">
        <v>18</v>
      </c>
      <c r="E85" s="150"/>
      <c r="F85" s="149" t="s">
        <v>19</v>
      </c>
      <c r="G85" s="150"/>
      <c r="H85" s="155"/>
      <c r="I85" s="158"/>
      <c r="J85" s="6">
        <v>77</v>
      </c>
    </row>
    <row r="86" spans="1:10" ht="15" customHeight="1">
      <c r="A86" s="32" t="str">
        <f t="shared" si="1"/>
        <v>DM10078</v>
      </c>
      <c r="B86" s="152"/>
      <c r="C86" s="152"/>
      <c r="D86" s="149" t="s">
        <v>20</v>
      </c>
      <c r="E86" s="150"/>
      <c r="F86" s="149" t="s">
        <v>21</v>
      </c>
      <c r="G86" s="150"/>
      <c r="H86" s="155"/>
      <c r="I86" s="158"/>
      <c r="J86" s="6">
        <v>78</v>
      </c>
    </row>
    <row r="87" spans="1:10" ht="15" customHeight="1">
      <c r="A87" s="32" t="str">
        <f t="shared" si="1"/>
        <v>DM10079</v>
      </c>
      <c r="B87" s="153"/>
      <c r="C87" s="153"/>
      <c r="D87" s="149" t="s">
        <v>22</v>
      </c>
      <c r="E87" s="150"/>
      <c r="F87" s="149" t="s">
        <v>23</v>
      </c>
      <c r="G87" s="150"/>
      <c r="H87" s="156"/>
      <c r="I87" s="159"/>
      <c r="J87" s="6">
        <v>79</v>
      </c>
    </row>
    <row r="88" spans="1:10" ht="15" customHeight="1">
      <c r="A88" s="32" t="str">
        <f t="shared" si="1"/>
        <v>DM10080</v>
      </c>
      <c r="B88" s="151" t="s">
        <v>236</v>
      </c>
      <c r="C88" s="151" t="s">
        <v>222</v>
      </c>
      <c r="D88" s="149" t="s">
        <v>25</v>
      </c>
      <c r="E88" s="150"/>
      <c r="F88" s="149" t="s">
        <v>65</v>
      </c>
      <c r="G88" s="150"/>
      <c r="H88" s="154" t="s">
        <v>237</v>
      </c>
      <c r="I88" s="157" t="s">
        <v>64</v>
      </c>
      <c r="J88" s="6">
        <v>80</v>
      </c>
    </row>
    <row r="89" spans="1:10" ht="15" customHeight="1">
      <c r="A89" s="32" t="str">
        <f t="shared" si="1"/>
        <v>DM10081</v>
      </c>
      <c r="B89" s="152"/>
      <c r="C89" s="152"/>
      <c r="D89" s="149" t="s">
        <v>26</v>
      </c>
      <c r="E89" s="150"/>
      <c r="F89" s="149" t="s">
        <v>27</v>
      </c>
      <c r="G89" s="150"/>
      <c r="H89" s="155"/>
      <c r="I89" s="158"/>
      <c r="J89" s="6">
        <v>81</v>
      </c>
    </row>
    <row r="90" spans="1:10" ht="15" customHeight="1">
      <c r="A90" s="32" t="str">
        <f t="shared" si="1"/>
        <v>DM10082</v>
      </c>
      <c r="B90" s="152"/>
      <c r="C90" s="152"/>
      <c r="D90" s="149" t="s">
        <v>28</v>
      </c>
      <c r="E90" s="150"/>
      <c r="F90" s="149" t="s">
        <v>29</v>
      </c>
      <c r="G90" s="150"/>
      <c r="H90" s="155"/>
      <c r="I90" s="158"/>
      <c r="J90" s="6">
        <v>82</v>
      </c>
    </row>
    <row r="91" spans="1:10" ht="15" customHeight="1">
      <c r="A91" s="32" t="str">
        <f t="shared" si="1"/>
        <v>DM10083</v>
      </c>
      <c r="B91" s="152"/>
      <c r="C91" s="152"/>
      <c r="D91" s="149" t="s">
        <v>30</v>
      </c>
      <c r="E91" s="150"/>
      <c r="F91" s="149" t="s">
        <v>31</v>
      </c>
      <c r="G91" s="150"/>
      <c r="H91" s="155"/>
      <c r="I91" s="158"/>
      <c r="J91" s="6">
        <v>83</v>
      </c>
    </row>
    <row r="92" spans="1:10" ht="15" customHeight="1">
      <c r="A92" s="32" t="str">
        <f t="shared" si="1"/>
        <v>DM10084</v>
      </c>
      <c r="B92" s="152"/>
      <c r="C92" s="152"/>
      <c r="D92" s="149" t="s">
        <v>11</v>
      </c>
      <c r="E92" s="150"/>
      <c r="F92" s="149" t="s">
        <v>12</v>
      </c>
      <c r="G92" s="150"/>
      <c r="H92" s="155"/>
      <c r="I92" s="158"/>
      <c r="J92" s="6">
        <v>84</v>
      </c>
    </row>
    <row r="93" spans="1:10" ht="15" customHeight="1">
      <c r="A93" s="32" t="str">
        <f t="shared" si="1"/>
        <v>DM10085</v>
      </c>
      <c r="B93" s="152"/>
      <c r="C93" s="152"/>
      <c r="D93" s="149" t="s">
        <v>13</v>
      </c>
      <c r="E93" s="150"/>
      <c r="F93" s="149" t="s">
        <v>14</v>
      </c>
      <c r="G93" s="150"/>
      <c r="H93" s="155"/>
      <c r="I93" s="158"/>
      <c r="J93" s="6">
        <v>85</v>
      </c>
    </row>
    <row r="94" spans="1:10" ht="15" customHeight="1">
      <c r="A94" s="32" t="str">
        <f t="shared" si="1"/>
        <v>DM10086</v>
      </c>
      <c r="B94" s="152"/>
      <c r="C94" s="152"/>
      <c r="D94" s="149" t="s">
        <v>16</v>
      </c>
      <c r="E94" s="150"/>
      <c r="F94" s="149" t="s">
        <v>17</v>
      </c>
      <c r="G94" s="150"/>
      <c r="H94" s="155"/>
      <c r="I94" s="158"/>
      <c r="J94" s="6">
        <v>86</v>
      </c>
    </row>
    <row r="95" spans="1:10" ht="15" customHeight="1">
      <c r="A95" s="32" t="str">
        <f t="shared" si="1"/>
        <v>DM10087</v>
      </c>
      <c r="B95" s="152"/>
      <c r="C95" s="152"/>
      <c r="D95" s="149" t="s">
        <v>18</v>
      </c>
      <c r="E95" s="150"/>
      <c r="F95" s="149" t="s">
        <v>19</v>
      </c>
      <c r="G95" s="150"/>
      <c r="H95" s="155"/>
      <c r="I95" s="158"/>
      <c r="J95" s="6">
        <v>87</v>
      </c>
    </row>
    <row r="96" spans="1:10" ht="15" customHeight="1">
      <c r="A96" s="32" t="str">
        <f t="shared" si="1"/>
        <v>DM10088</v>
      </c>
      <c r="B96" s="152"/>
      <c r="C96" s="152"/>
      <c r="D96" s="149" t="s">
        <v>20</v>
      </c>
      <c r="E96" s="150"/>
      <c r="F96" s="149" t="s">
        <v>21</v>
      </c>
      <c r="G96" s="150"/>
      <c r="H96" s="155"/>
      <c r="I96" s="158"/>
      <c r="J96" s="6">
        <v>88</v>
      </c>
    </row>
    <row r="97" spans="1:10" ht="15" customHeight="1">
      <c r="A97" s="32" t="str">
        <f t="shared" si="1"/>
        <v>DM10089</v>
      </c>
      <c r="B97" s="153"/>
      <c r="C97" s="153"/>
      <c r="D97" s="149" t="s">
        <v>22</v>
      </c>
      <c r="E97" s="150"/>
      <c r="F97" s="149" t="s">
        <v>23</v>
      </c>
      <c r="G97" s="150"/>
      <c r="H97" s="156"/>
      <c r="I97" s="159"/>
      <c r="J97" s="6">
        <v>89</v>
      </c>
    </row>
    <row r="98" spans="1:10" ht="15" customHeight="1">
      <c r="A98" s="32" t="str">
        <f t="shared" si="1"/>
        <v>DM10090</v>
      </c>
      <c r="B98" s="151" t="s">
        <v>238</v>
      </c>
      <c r="C98" s="151" t="s">
        <v>222</v>
      </c>
      <c r="D98" s="149" t="s">
        <v>25</v>
      </c>
      <c r="E98" s="150"/>
      <c r="F98" s="149" t="s">
        <v>65</v>
      </c>
      <c r="G98" s="150"/>
      <c r="H98" s="154" t="s">
        <v>239</v>
      </c>
      <c r="I98" s="157" t="s">
        <v>64</v>
      </c>
      <c r="J98" s="6">
        <v>90</v>
      </c>
    </row>
    <row r="99" spans="1:10" ht="15" customHeight="1">
      <c r="A99" s="32" t="str">
        <f t="shared" si="1"/>
        <v>DM10091</v>
      </c>
      <c r="B99" s="152"/>
      <c r="C99" s="152"/>
      <c r="D99" s="149" t="s">
        <v>26</v>
      </c>
      <c r="E99" s="150"/>
      <c r="F99" s="149" t="s">
        <v>27</v>
      </c>
      <c r="G99" s="150"/>
      <c r="H99" s="155"/>
      <c r="I99" s="158"/>
      <c r="J99" s="6">
        <v>91</v>
      </c>
    </row>
    <row r="100" spans="1:10" ht="15" customHeight="1">
      <c r="A100" s="32" t="str">
        <f t="shared" si="1"/>
        <v>DM10092</v>
      </c>
      <c r="B100" s="152"/>
      <c r="C100" s="152"/>
      <c r="D100" s="149" t="s">
        <v>28</v>
      </c>
      <c r="E100" s="150"/>
      <c r="F100" s="149" t="s">
        <v>29</v>
      </c>
      <c r="G100" s="150"/>
      <c r="H100" s="155"/>
      <c r="I100" s="158"/>
      <c r="J100" s="6">
        <v>92</v>
      </c>
    </row>
    <row r="101" spans="1:10" ht="15" customHeight="1">
      <c r="A101" s="32" t="str">
        <f t="shared" si="1"/>
        <v>DM10093</v>
      </c>
      <c r="B101" s="152"/>
      <c r="C101" s="152"/>
      <c r="D101" s="149" t="s">
        <v>30</v>
      </c>
      <c r="E101" s="150"/>
      <c r="F101" s="149" t="s">
        <v>31</v>
      </c>
      <c r="G101" s="150"/>
      <c r="H101" s="155"/>
      <c r="I101" s="158"/>
      <c r="J101" s="6">
        <v>93</v>
      </c>
    </row>
    <row r="102" spans="1:10" ht="15" customHeight="1">
      <c r="A102" s="32" t="str">
        <f t="shared" si="1"/>
        <v>DM10094</v>
      </c>
      <c r="B102" s="152"/>
      <c r="C102" s="152"/>
      <c r="D102" s="149" t="s">
        <v>11</v>
      </c>
      <c r="E102" s="150"/>
      <c r="F102" s="149" t="s">
        <v>12</v>
      </c>
      <c r="G102" s="150"/>
      <c r="H102" s="155"/>
      <c r="I102" s="158"/>
      <c r="J102" s="6">
        <v>94</v>
      </c>
    </row>
    <row r="103" spans="1:10" ht="15" customHeight="1">
      <c r="A103" s="32" t="str">
        <f t="shared" si="1"/>
        <v>DM10095</v>
      </c>
      <c r="B103" s="152"/>
      <c r="C103" s="152"/>
      <c r="D103" s="149" t="s">
        <v>13</v>
      </c>
      <c r="E103" s="150"/>
      <c r="F103" s="149" t="s">
        <v>14</v>
      </c>
      <c r="G103" s="150"/>
      <c r="H103" s="155"/>
      <c r="I103" s="158"/>
      <c r="J103" s="6">
        <v>95</v>
      </c>
    </row>
    <row r="104" spans="1:10" ht="15" customHeight="1">
      <c r="A104" s="32" t="str">
        <f t="shared" si="1"/>
        <v>DM10096</v>
      </c>
      <c r="B104" s="152"/>
      <c r="C104" s="152"/>
      <c r="D104" s="149" t="s">
        <v>16</v>
      </c>
      <c r="E104" s="150"/>
      <c r="F104" s="149" t="s">
        <v>17</v>
      </c>
      <c r="G104" s="150"/>
      <c r="H104" s="155"/>
      <c r="I104" s="158"/>
      <c r="J104" s="6">
        <v>96</v>
      </c>
    </row>
    <row r="105" spans="1:10" ht="15" customHeight="1">
      <c r="A105" s="32" t="str">
        <f t="shared" si="1"/>
        <v>DM10097</v>
      </c>
      <c r="B105" s="152"/>
      <c r="C105" s="152"/>
      <c r="D105" s="149" t="s">
        <v>18</v>
      </c>
      <c r="E105" s="150"/>
      <c r="F105" s="149" t="s">
        <v>19</v>
      </c>
      <c r="G105" s="150"/>
      <c r="H105" s="155"/>
      <c r="I105" s="158"/>
      <c r="J105" s="6">
        <v>97</v>
      </c>
    </row>
    <row r="106" spans="1:10" ht="15" customHeight="1">
      <c r="A106" s="32" t="str">
        <f t="shared" si="1"/>
        <v>DM10098</v>
      </c>
      <c r="B106" s="152"/>
      <c r="C106" s="152"/>
      <c r="D106" s="149" t="s">
        <v>20</v>
      </c>
      <c r="E106" s="150"/>
      <c r="F106" s="149" t="s">
        <v>21</v>
      </c>
      <c r="G106" s="150"/>
      <c r="H106" s="155"/>
      <c r="I106" s="158"/>
      <c r="J106" s="6">
        <v>98</v>
      </c>
    </row>
    <row r="107" spans="1:10" ht="15" customHeight="1">
      <c r="A107" s="32" t="str">
        <f t="shared" si="1"/>
        <v>DM10099</v>
      </c>
      <c r="B107" s="153"/>
      <c r="C107" s="153"/>
      <c r="D107" s="149" t="s">
        <v>22</v>
      </c>
      <c r="E107" s="150"/>
      <c r="F107" s="149" t="s">
        <v>23</v>
      </c>
      <c r="G107" s="150"/>
      <c r="H107" s="156"/>
      <c r="I107" s="159"/>
      <c r="J107" s="6">
        <v>99</v>
      </c>
    </row>
    <row r="108" spans="1:10" ht="15" customHeight="1">
      <c r="A108" s="32" t="str">
        <f t="shared" si="1"/>
        <v>DM10100</v>
      </c>
      <c r="B108" s="151" t="s">
        <v>240</v>
      </c>
      <c r="C108" s="151" t="s">
        <v>222</v>
      </c>
      <c r="D108" s="149" t="s">
        <v>25</v>
      </c>
      <c r="E108" s="150"/>
      <c r="F108" s="149" t="s">
        <v>65</v>
      </c>
      <c r="G108" s="150"/>
      <c r="H108" s="154" t="s">
        <v>241</v>
      </c>
      <c r="I108" s="157" t="s">
        <v>64</v>
      </c>
      <c r="J108" s="6">
        <v>100</v>
      </c>
    </row>
    <row r="109" spans="1:10" ht="15" customHeight="1">
      <c r="A109" s="32" t="str">
        <f t="shared" si="1"/>
        <v>DM10101</v>
      </c>
      <c r="B109" s="152"/>
      <c r="C109" s="152"/>
      <c r="D109" s="149" t="s">
        <v>26</v>
      </c>
      <c r="E109" s="150"/>
      <c r="F109" s="149" t="s">
        <v>27</v>
      </c>
      <c r="G109" s="150"/>
      <c r="H109" s="155"/>
      <c r="I109" s="158"/>
      <c r="J109" s="6">
        <v>101</v>
      </c>
    </row>
    <row r="110" spans="1:10" ht="15" customHeight="1">
      <c r="A110" s="32" t="str">
        <f t="shared" si="1"/>
        <v>DM10102</v>
      </c>
      <c r="B110" s="152"/>
      <c r="C110" s="152"/>
      <c r="D110" s="149" t="s">
        <v>28</v>
      </c>
      <c r="E110" s="150"/>
      <c r="F110" s="149" t="s">
        <v>29</v>
      </c>
      <c r="G110" s="150"/>
      <c r="H110" s="155"/>
      <c r="I110" s="158"/>
      <c r="J110" s="6">
        <v>102</v>
      </c>
    </row>
    <row r="111" spans="1:10" ht="15" customHeight="1">
      <c r="A111" s="32" t="str">
        <f t="shared" si="1"/>
        <v>DM10103</v>
      </c>
      <c r="B111" s="152"/>
      <c r="C111" s="152"/>
      <c r="D111" s="149" t="s">
        <v>30</v>
      </c>
      <c r="E111" s="150"/>
      <c r="F111" s="149" t="s">
        <v>31</v>
      </c>
      <c r="G111" s="150"/>
      <c r="H111" s="155"/>
      <c r="I111" s="158"/>
      <c r="J111" s="6">
        <v>103</v>
      </c>
    </row>
    <row r="112" spans="1:10" ht="15" customHeight="1">
      <c r="A112" s="32" t="str">
        <f t="shared" si="1"/>
        <v>DM10104</v>
      </c>
      <c r="B112" s="152"/>
      <c r="C112" s="152"/>
      <c r="D112" s="149" t="s">
        <v>11</v>
      </c>
      <c r="E112" s="150"/>
      <c r="F112" s="149" t="s">
        <v>12</v>
      </c>
      <c r="G112" s="150"/>
      <c r="H112" s="155"/>
      <c r="I112" s="158"/>
      <c r="J112" s="6">
        <v>104</v>
      </c>
    </row>
    <row r="113" spans="1:10" ht="15" customHeight="1">
      <c r="A113" s="32" t="str">
        <f t="shared" si="1"/>
        <v>DM10105</v>
      </c>
      <c r="B113" s="152"/>
      <c r="C113" s="152"/>
      <c r="D113" s="149" t="s">
        <v>13</v>
      </c>
      <c r="E113" s="150"/>
      <c r="F113" s="149" t="s">
        <v>14</v>
      </c>
      <c r="G113" s="150"/>
      <c r="H113" s="155"/>
      <c r="I113" s="158"/>
      <c r="J113" s="6">
        <v>105</v>
      </c>
    </row>
    <row r="114" spans="1:10" ht="15" customHeight="1">
      <c r="A114" s="32" t="str">
        <f t="shared" si="1"/>
        <v>DM10106</v>
      </c>
      <c r="B114" s="152"/>
      <c r="C114" s="152"/>
      <c r="D114" s="149" t="s">
        <v>16</v>
      </c>
      <c r="E114" s="150"/>
      <c r="F114" s="149" t="s">
        <v>17</v>
      </c>
      <c r="G114" s="150"/>
      <c r="H114" s="155"/>
      <c r="I114" s="158"/>
      <c r="J114" s="6">
        <v>106</v>
      </c>
    </row>
    <row r="115" spans="1:10" ht="15" customHeight="1">
      <c r="A115" s="32" t="str">
        <f t="shared" si="1"/>
        <v>DM10107</v>
      </c>
      <c r="B115" s="152"/>
      <c r="C115" s="152"/>
      <c r="D115" s="149" t="s">
        <v>18</v>
      </c>
      <c r="E115" s="150"/>
      <c r="F115" s="149" t="s">
        <v>19</v>
      </c>
      <c r="G115" s="150"/>
      <c r="H115" s="155"/>
      <c r="I115" s="158"/>
      <c r="J115" s="6">
        <v>107</v>
      </c>
    </row>
    <row r="116" spans="1:10" ht="15" customHeight="1">
      <c r="A116" s="32" t="str">
        <f t="shared" si="1"/>
        <v>DM10108</v>
      </c>
      <c r="B116" s="152"/>
      <c r="C116" s="152"/>
      <c r="D116" s="149" t="s">
        <v>20</v>
      </c>
      <c r="E116" s="150"/>
      <c r="F116" s="149" t="s">
        <v>21</v>
      </c>
      <c r="G116" s="150"/>
      <c r="H116" s="155"/>
      <c r="I116" s="158"/>
      <c r="J116" s="6">
        <v>108</v>
      </c>
    </row>
    <row r="117" spans="1:10" ht="15" customHeight="1">
      <c r="A117" s="32" t="str">
        <f t="shared" si="1"/>
        <v>DM10109</v>
      </c>
      <c r="B117" s="153"/>
      <c r="C117" s="153"/>
      <c r="D117" s="149" t="s">
        <v>22</v>
      </c>
      <c r="E117" s="150"/>
      <c r="F117" s="149" t="s">
        <v>23</v>
      </c>
      <c r="G117" s="150"/>
      <c r="H117" s="156"/>
      <c r="I117" s="159"/>
      <c r="J117" s="6">
        <v>109</v>
      </c>
    </row>
    <row r="118" spans="1:10">
      <c r="A118" s="32" t="str">
        <f t="shared" si="1"/>
        <v>DM10110</v>
      </c>
      <c r="B118" s="151" t="s">
        <v>242</v>
      </c>
      <c r="C118" s="151" t="s">
        <v>222</v>
      </c>
      <c r="D118" s="149" t="s">
        <v>25</v>
      </c>
      <c r="E118" s="150"/>
      <c r="F118" s="149" t="s">
        <v>65</v>
      </c>
      <c r="G118" s="150"/>
      <c r="H118" s="154" t="s">
        <v>243</v>
      </c>
      <c r="I118" s="157" t="s">
        <v>64</v>
      </c>
      <c r="J118" s="6">
        <v>110</v>
      </c>
    </row>
    <row r="119" spans="1:10">
      <c r="A119" s="32" t="str">
        <f t="shared" si="1"/>
        <v>DM10111</v>
      </c>
      <c r="B119" s="152"/>
      <c r="C119" s="152"/>
      <c r="D119" s="149" t="s">
        <v>26</v>
      </c>
      <c r="E119" s="150"/>
      <c r="F119" s="149" t="s">
        <v>27</v>
      </c>
      <c r="G119" s="150"/>
      <c r="H119" s="155"/>
      <c r="I119" s="158"/>
      <c r="J119" s="6">
        <v>111</v>
      </c>
    </row>
    <row r="120" spans="1:10">
      <c r="A120" s="32" t="str">
        <f t="shared" si="1"/>
        <v>DM10112</v>
      </c>
      <c r="B120" s="152"/>
      <c r="C120" s="152"/>
      <c r="D120" s="149" t="s">
        <v>28</v>
      </c>
      <c r="E120" s="150"/>
      <c r="F120" s="149" t="s">
        <v>29</v>
      </c>
      <c r="G120" s="150"/>
      <c r="H120" s="155"/>
      <c r="I120" s="158"/>
      <c r="J120" s="6">
        <v>112</v>
      </c>
    </row>
    <row r="121" spans="1:10">
      <c r="A121" s="32" t="str">
        <f t="shared" si="1"/>
        <v>DM10113</v>
      </c>
      <c r="B121" s="152"/>
      <c r="C121" s="152"/>
      <c r="D121" s="149" t="s">
        <v>30</v>
      </c>
      <c r="E121" s="150"/>
      <c r="F121" s="149" t="s">
        <v>31</v>
      </c>
      <c r="G121" s="150"/>
      <c r="H121" s="155"/>
      <c r="I121" s="158"/>
      <c r="J121" s="6">
        <v>113</v>
      </c>
    </row>
    <row r="122" spans="1:10">
      <c r="A122" s="32" t="str">
        <f t="shared" ref="A122:A185" si="2">LEFT($C$3, 2) &amp; (MID($C$3, 3, LEN($C$3)) + J122)</f>
        <v>DM10114</v>
      </c>
      <c r="B122" s="152"/>
      <c r="C122" s="152"/>
      <c r="D122" s="149" t="s">
        <v>11</v>
      </c>
      <c r="E122" s="150"/>
      <c r="F122" s="149" t="s">
        <v>12</v>
      </c>
      <c r="G122" s="150"/>
      <c r="H122" s="155"/>
      <c r="I122" s="158"/>
      <c r="J122" s="6">
        <v>114</v>
      </c>
    </row>
    <row r="123" spans="1:10">
      <c r="A123" s="32" t="str">
        <f t="shared" si="2"/>
        <v>DM10115</v>
      </c>
      <c r="B123" s="152"/>
      <c r="C123" s="152"/>
      <c r="D123" s="149" t="s">
        <v>13</v>
      </c>
      <c r="E123" s="150"/>
      <c r="F123" s="149" t="s">
        <v>14</v>
      </c>
      <c r="G123" s="150"/>
      <c r="H123" s="155"/>
      <c r="I123" s="158"/>
      <c r="J123" s="6">
        <v>115</v>
      </c>
    </row>
    <row r="124" spans="1:10" ht="15" customHeight="1">
      <c r="A124" s="32" t="str">
        <f t="shared" si="2"/>
        <v>DM10116</v>
      </c>
      <c r="B124" s="152"/>
      <c r="C124" s="152"/>
      <c r="D124" s="149" t="s">
        <v>16</v>
      </c>
      <c r="E124" s="150"/>
      <c r="F124" s="149" t="s">
        <v>17</v>
      </c>
      <c r="G124" s="150"/>
      <c r="H124" s="155"/>
      <c r="I124" s="158"/>
      <c r="J124" s="6">
        <v>116</v>
      </c>
    </row>
    <row r="125" spans="1:10" ht="15" customHeight="1">
      <c r="A125" s="32" t="str">
        <f t="shared" si="2"/>
        <v>DM10117</v>
      </c>
      <c r="B125" s="152"/>
      <c r="C125" s="152"/>
      <c r="D125" s="149" t="s">
        <v>18</v>
      </c>
      <c r="E125" s="150"/>
      <c r="F125" s="149" t="s">
        <v>19</v>
      </c>
      <c r="G125" s="150"/>
      <c r="H125" s="155"/>
      <c r="I125" s="158"/>
      <c r="J125" s="6">
        <v>117</v>
      </c>
    </row>
    <row r="126" spans="1:10" ht="15" customHeight="1">
      <c r="A126" s="32" t="str">
        <f t="shared" si="2"/>
        <v>DM10118</v>
      </c>
      <c r="B126" s="152"/>
      <c r="C126" s="152"/>
      <c r="D126" s="149" t="s">
        <v>20</v>
      </c>
      <c r="E126" s="150"/>
      <c r="F126" s="149" t="s">
        <v>21</v>
      </c>
      <c r="G126" s="150"/>
      <c r="H126" s="155"/>
      <c r="I126" s="158"/>
      <c r="J126" s="6">
        <v>118</v>
      </c>
    </row>
    <row r="127" spans="1:10" ht="15" customHeight="1">
      <c r="A127" s="32" t="str">
        <f t="shared" si="2"/>
        <v>DM10119</v>
      </c>
      <c r="B127" s="153"/>
      <c r="C127" s="153"/>
      <c r="D127" s="149" t="s">
        <v>22</v>
      </c>
      <c r="E127" s="150"/>
      <c r="F127" s="149" t="s">
        <v>23</v>
      </c>
      <c r="G127" s="150"/>
      <c r="H127" s="156"/>
      <c r="I127" s="159"/>
      <c r="J127" s="6">
        <v>119</v>
      </c>
    </row>
    <row r="128" spans="1:10" ht="15" customHeight="1">
      <c r="A128" s="32" t="str">
        <f t="shared" si="2"/>
        <v>DM10120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120</v>
      </c>
    </row>
    <row r="129" spans="1:10" ht="15" customHeight="1">
      <c r="A129" s="32" t="str">
        <f t="shared" si="2"/>
        <v>DM10121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121</v>
      </c>
    </row>
    <row r="130" spans="1:10" ht="15" customHeight="1">
      <c r="A130" s="32" t="str">
        <f t="shared" si="2"/>
        <v>DM10122</v>
      </c>
      <c r="B130" s="41" t="s">
        <v>0</v>
      </c>
      <c r="C130" s="41"/>
      <c r="D130" s="10"/>
      <c r="E130" s="10"/>
      <c r="F130" s="10"/>
      <c r="G130" s="10"/>
      <c r="H130" s="80"/>
      <c r="I130" s="81"/>
      <c r="J130" s="6">
        <v>122</v>
      </c>
    </row>
    <row r="131" spans="1:10" ht="15" customHeight="1">
      <c r="A131" s="32" t="str">
        <f t="shared" si="2"/>
        <v>DM10123</v>
      </c>
      <c r="B131" s="41" t="s">
        <v>0</v>
      </c>
      <c r="C131" s="41"/>
      <c r="D131" s="10"/>
      <c r="E131" s="10"/>
      <c r="F131" s="10"/>
      <c r="G131" s="10"/>
      <c r="H131" s="80"/>
      <c r="I131" s="81"/>
      <c r="J131" s="6">
        <v>123</v>
      </c>
    </row>
    <row r="132" spans="1:10" ht="15" customHeight="1">
      <c r="A132" s="32" t="str">
        <f t="shared" si="2"/>
        <v>DM10124</v>
      </c>
      <c r="B132" s="41" t="s">
        <v>0</v>
      </c>
      <c r="C132" s="41"/>
      <c r="D132" s="10"/>
      <c r="E132" s="10"/>
      <c r="F132" s="10"/>
      <c r="G132" s="10"/>
      <c r="H132" s="80"/>
      <c r="I132" s="81"/>
      <c r="J132" s="6">
        <v>124</v>
      </c>
    </row>
    <row r="133" spans="1:10" ht="15" customHeight="1">
      <c r="A133" s="32" t="str">
        <f t="shared" si="2"/>
        <v>DM10125</v>
      </c>
      <c r="B133" s="41" t="s">
        <v>0</v>
      </c>
      <c r="C133" s="41"/>
      <c r="D133" s="10"/>
      <c r="E133" s="10"/>
      <c r="F133" s="10"/>
      <c r="G133" s="10"/>
      <c r="H133" s="80"/>
      <c r="I133" s="81"/>
      <c r="J133" s="6">
        <v>125</v>
      </c>
    </row>
    <row r="134" spans="1:10" ht="15" customHeight="1">
      <c r="A134" s="32" t="str">
        <f t="shared" si="2"/>
        <v>DM10126</v>
      </c>
      <c r="B134" s="41" t="s">
        <v>0</v>
      </c>
      <c r="C134" s="41"/>
      <c r="D134" s="10"/>
      <c r="E134" s="10"/>
      <c r="F134" s="10"/>
      <c r="G134" s="10"/>
      <c r="H134" s="80"/>
      <c r="I134" s="81"/>
      <c r="J134" s="6">
        <v>126</v>
      </c>
    </row>
    <row r="135" spans="1:10" ht="15" customHeight="1">
      <c r="A135" s="32" t="str">
        <f t="shared" si="2"/>
        <v>DM10127</v>
      </c>
      <c r="B135" s="41" t="s">
        <v>0</v>
      </c>
      <c r="C135" s="41"/>
      <c r="D135" s="10"/>
      <c r="E135" s="10"/>
      <c r="F135" s="10"/>
      <c r="G135" s="10"/>
      <c r="H135" s="80"/>
      <c r="I135" s="81"/>
      <c r="J135" s="6">
        <v>127</v>
      </c>
    </row>
    <row r="136" spans="1:10" ht="15" customHeight="1">
      <c r="A136" s="32" t="str">
        <f t="shared" si="2"/>
        <v>DM10128</v>
      </c>
      <c r="B136" s="41" t="s">
        <v>0</v>
      </c>
      <c r="C136" s="41"/>
      <c r="D136" s="10"/>
      <c r="E136" s="10"/>
      <c r="F136" s="10"/>
      <c r="G136" s="10"/>
      <c r="H136" s="80"/>
      <c r="I136" s="81"/>
      <c r="J136" s="6">
        <v>128</v>
      </c>
    </row>
    <row r="137" spans="1:10" ht="15" customHeight="1">
      <c r="A137" s="32" t="str">
        <f t="shared" si="2"/>
        <v>DM10129</v>
      </c>
      <c r="B137" s="41" t="s">
        <v>0</v>
      </c>
      <c r="C137" s="41"/>
      <c r="D137" s="10"/>
      <c r="E137" s="10"/>
      <c r="F137" s="10"/>
      <c r="G137" s="10"/>
      <c r="H137" s="80"/>
      <c r="I137" s="81"/>
      <c r="J137" s="6">
        <v>129</v>
      </c>
    </row>
    <row r="138" spans="1:10" ht="15" customHeight="1">
      <c r="A138" s="32" t="str">
        <f t="shared" si="2"/>
        <v>DM10130</v>
      </c>
      <c r="B138" s="41" t="s">
        <v>0</v>
      </c>
      <c r="C138" s="41"/>
      <c r="D138" s="10"/>
      <c r="E138" s="10"/>
      <c r="F138" s="10"/>
      <c r="G138" s="10"/>
      <c r="H138" s="80"/>
      <c r="I138" s="81"/>
      <c r="J138" s="6">
        <v>130</v>
      </c>
    </row>
    <row r="139" spans="1:10" ht="15" customHeight="1">
      <c r="A139" s="32" t="str">
        <f t="shared" si="2"/>
        <v>DM10131</v>
      </c>
      <c r="B139" s="41" t="s">
        <v>0</v>
      </c>
      <c r="C139" s="41"/>
      <c r="D139" s="10"/>
      <c r="E139" s="10"/>
      <c r="F139" s="10"/>
      <c r="G139" s="10"/>
      <c r="H139" s="80"/>
      <c r="I139" s="81"/>
      <c r="J139" s="6">
        <v>131</v>
      </c>
    </row>
    <row r="140" spans="1:10" ht="15" customHeight="1">
      <c r="A140" s="32" t="str">
        <f t="shared" si="2"/>
        <v>DM10132</v>
      </c>
      <c r="B140" s="41" t="s">
        <v>0</v>
      </c>
      <c r="C140" s="41"/>
      <c r="D140" s="10"/>
      <c r="E140" s="10"/>
      <c r="F140" s="10"/>
      <c r="G140" s="10"/>
      <c r="H140" s="80"/>
      <c r="I140" s="81"/>
      <c r="J140" s="6">
        <v>132</v>
      </c>
    </row>
    <row r="141" spans="1:10" ht="15" customHeight="1">
      <c r="A141" s="32" t="str">
        <f t="shared" si="2"/>
        <v>DM10133</v>
      </c>
      <c r="B141" s="41" t="s">
        <v>0</v>
      </c>
      <c r="C141" s="41"/>
      <c r="D141" s="10"/>
      <c r="E141" s="10"/>
      <c r="F141" s="10"/>
      <c r="G141" s="10"/>
      <c r="H141" s="80"/>
      <c r="I141" s="81"/>
      <c r="J141" s="6">
        <v>133</v>
      </c>
    </row>
    <row r="142" spans="1:10" ht="15" customHeight="1">
      <c r="A142" s="32" t="str">
        <f t="shared" si="2"/>
        <v>DM10134</v>
      </c>
      <c r="B142" s="41" t="s">
        <v>0</v>
      </c>
      <c r="C142" s="41"/>
      <c r="D142" s="10"/>
      <c r="E142" s="10"/>
      <c r="F142" s="10"/>
      <c r="G142" s="10"/>
      <c r="H142" s="80"/>
      <c r="I142" s="81"/>
      <c r="J142" s="6">
        <v>134</v>
      </c>
    </row>
    <row r="143" spans="1:10" ht="15" customHeight="1">
      <c r="A143" s="32" t="str">
        <f t="shared" si="2"/>
        <v>DM10135</v>
      </c>
      <c r="B143" s="41" t="s">
        <v>0</v>
      </c>
      <c r="C143" s="41"/>
      <c r="D143" s="10"/>
      <c r="E143" s="10"/>
      <c r="F143" s="10"/>
      <c r="G143" s="10"/>
      <c r="H143" s="80"/>
      <c r="I143" s="81"/>
      <c r="J143" s="6">
        <v>135</v>
      </c>
    </row>
    <row r="144" spans="1:10" ht="15" customHeight="1">
      <c r="A144" s="32" t="str">
        <f t="shared" si="2"/>
        <v>DM10136</v>
      </c>
      <c r="B144" s="41" t="s">
        <v>0</v>
      </c>
      <c r="C144" s="41"/>
      <c r="D144" s="10"/>
      <c r="E144" s="10"/>
      <c r="F144" s="10"/>
      <c r="G144" s="10"/>
      <c r="H144" s="80"/>
      <c r="I144" s="81"/>
      <c r="J144" s="6">
        <v>136</v>
      </c>
    </row>
    <row r="145" spans="1:10" ht="15" customHeight="1">
      <c r="A145" s="32" t="str">
        <f t="shared" si="2"/>
        <v>DM10137</v>
      </c>
      <c r="B145" s="41" t="s">
        <v>0</v>
      </c>
      <c r="C145" s="41"/>
      <c r="D145" s="10"/>
      <c r="E145" s="10"/>
      <c r="F145" s="10"/>
      <c r="G145" s="10"/>
      <c r="H145" s="80"/>
      <c r="I145" s="81"/>
      <c r="J145" s="6">
        <v>137</v>
      </c>
    </row>
    <row r="146" spans="1:10" ht="15" customHeight="1">
      <c r="A146" s="32" t="str">
        <f t="shared" si="2"/>
        <v>DM10138</v>
      </c>
      <c r="B146" s="41" t="s">
        <v>0</v>
      </c>
      <c r="C146" s="41"/>
      <c r="D146" s="10"/>
      <c r="E146" s="10"/>
      <c r="F146" s="10"/>
      <c r="G146" s="10"/>
      <c r="H146" s="80"/>
      <c r="I146" s="81"/>
      <c r="J146" s="6">
        <v>138</v>
      </c>
    </row>
    <row r="147" spans="1:10" ht="15" customHeight="1">
      <c r="A147" s="32" t="str">
        <f t="shared" si="2"/>
        <v>DM10139</v>
      </c>
      <c r="B147" s="41" t="s">
        <v>0</v>
      </c>
      <c r="C147" s="41"/>
      <c r="D147" s="10"/>
      <c r="E147" s="10"/>
      <c r="F147" s="10"/>
      <c r="G147" s="10"/>
      <c r="H147" s="80"/>
      <c r="I147" s="81"/>
      <c r="J147" s="6">
        <v>139</v>
      </c>
    </row>
    <row r="148" spans="1:10" ht="15" customHeight="1">
      <c r="A148" s="32" t="str">
        <f t="shared" si="2"/>
        <v>DM10140</v>
      </c>
      <c r="B148" s="41" t="s">
        <v>0</v>
      </c>
      <c r="C148" s="41"/>
      <c r="D148" s="10"/>
      <c r="E148" s="10"/>
      <c r="F148" s="10"/>
      <c r="G148" s="10"/>
      <c r="H148" s="80"/>
      <c r="I148" s="81"/>
      <c r="J148" s="6">
        <v>140</v>
      </c>
    </row>
    <row r="149" spans="1:10" ht="15" customHeight="1">
      <c r="A149" s="32" t="str">
        <f t="shared" si="2"/>
        <v>DM10141</v>
      </c>
      <c r="B149" s="41" t="s">
        <v>0</v>
      </c>
      <c r="C149" s="41"/>
      <c r="D149" s="10"/>
      <c r="E149" s="10"/>
      <c r="F149" s="10"/>
      <c r="G149" s="10"/>
      <c r="H149" s="80"/>
      <c r="I149" s="81"/>
      <c r="J149" s="6">
        <v>141</v>
      </c>
    </row>
    <row r="150" spans="1:10" ht="15" customHeight="1">
      <c r="A150" s="32" t="str">
        <f t="shared" si="2"/>
        <v>DM10142</v>
      </c>
      <c r="B150" s="41" t="s">
        <v>0</v>
      </c>
      <c r="C150" s="41"/>
      <c r="D150" s="10"/>
      <c r="E150" s="10"/>
      <c r="F150" s="10"/>
      <c r="G150" s="10"/>
      <c r="H150" s="80"/>
      <c r="I150" s="81"/>
      <c r="J150" s="6">
        <v>142</v>
      </c>
    </row>
    <row r="151" spans="1:10" ht="15" customHeight="1">
      <c r="A151" s="32" t="str">
        <f t="shared" si="2"/>
        <v>DM10143</v>
      </c>
      <c r="B151" s="41" t="s">
        <v>0</v>
      </c>
      <c r="C151" s="41"/>
      <c r="D151" s="10"/>
      <c r="E151" s="10"/>
      <c r="F151" s="10"/>
      <c r="G151" s="10"/>
      <c r="H151" s="80"/>
      <c r="I151" s="81"/>
      <c r="J151" s="6">
        <v>143</v>
      </c>
    </row>
    <row r="152" spans="1:10" ht="15" customHeight="1">
      <c r="A152" s="32" t="str">
        <f t="shared" si="2"/>
        <v>DM10144</v>
      </c>
      <c r="B152" s="41" t="s">
        <v>0</v>
      </c>
      <c r="C152" s="41"/>
      <c r="D152" s="10"/>
      <c r="E152" s="10"/>
      <c r="F152" s="10"/>
      <c r="G152" s="10"/>
      <c r="H152" s="80"/>
      <c r="I152" s="81"/>
      <c r="J152" s="6">
        <v>144</v>
      </c>
    </row>
    <row r="153" spans="1:10" ht="15" customHeight="1">
      <c r="A153" s="32" t="str">
        <f t="shared" si="2"/>
        <v>DM10145</v>
      </c>
      <c r="B153" s="41" t="s">
        <v>0</v>
      </c>
      <c r="C153" s="41"/>
      <c r="D153" s="10"/>
      <c r="E153" s="10"/>
      <c r="F153" s="10"/>
      <c r="G153" s="10"/>
      <c r="H153" s="80"/>
      <c r="I153" s="81"/>
      <c r="J153" s="6">
        <v>145</v>
      </c>
    </row>
    <row r="154" spans="1:10" ht="15" customHeight="1">
      <c r="A154" s="32" t="str">
        <f t="shared" si="2"/>
        <v>DM10146</v>
      </c>
      <c r="B154" s="41" t="s">
        <v>0</v>
      </c>
      <c r="C154" s="41"/>
      <c r="D154" s="10"/>
      <c r="E154" s="10"/>
      <c r="F154" s="10"/>
      <c r="G154" s="10"/>
      <c r="H154" s="80"/>
      <c r="I154" s="81"/>
      <c r="J154" s="6">
        <v>146</v>
      </c>
    </row>
    <row r="155" spans="1:10" ht="15" customHeight="1">
      <c r="A155" s="32" t="str">
        <f t="shared" si="2"/>
        <v>DM10147</v>
      </c>
      <c r="B155" s="41" t="s">
        <v>0</v>
      </c>
      <c r="C155" s="41"/>
      <c r="D155" s="10"/>
      <c r="E155" s="10"/>
      <c r="F155" s="10"/>
      <c r="G155" s="10"/>
      <c r="H155" s="80"/>
      <c r="I155" s="81"/>
      <c r="J155" s="6">
        <v>147</v>
      </c>
    </row>
    <row r="156" spans="1:10" ht="15" customHeight="1">
      <c r="A156" s="32" t="str">
        <f t="shared" si="2"/>
        <v>DM10148</v>
      </c>
      <c r="B156" s="41" t="s">
        <v>0</v>
      </c>
      <c r="C156" s="41"/>
      <c r="D156" s="10"/>
      <c r="E156" s="10"/>
      <c r="F156" s="10"/>
      <c r="G156" s="10"/>
      <c r="H156" s="80"/>
      <c r="I156" s="81"/>
      <c r="J156" s="6">
        <v>148</v>
      </c>
    </row>
    <row r="157" spans="1:10" ht="15" customHeight="1">
      <c r="A157" s="32" t="str">
        <f t="shared" si="2"/>
        <v>DM10149</v>
      </c>
      <c r="B157" s="41" t="s">
        <v>0</v>
      </c>
      <c r="C157" s="41"/>
      <c r="D157" s="10"/>
      <c r="E157" s="10"/>
      <c r="F157" s="10"/>
      <c r="G157" s="10"/>
      <c r="H157" s="80"/>
      <c r="I157" s="81"/>
      <c r="J157" s="6">
        <v>149</v>
      </c>
    </row>
    <row r="158" spans="1:10" ht="15" customHeight="1">
      <c r="A158" s="32" t="str">
        <f t="shared" si="2"/>
        <v>DM10150</v>
      </c>
      <c r="B158" s="41" t="s">
        <v>0</v>
      </c>
      <c r="C158" s="41"/>
      <c r="D158" s="10"/>
      <c r="E158" s="10"/>
      <c r="F158" s="10"/>
      <c r="G158" s="10"/>
      <c r="H158" s="80"/>
      <c r="I158" s="81"/>
      <c r="J158" s="6">
        <v>150</v>
      </c>
    </row>
    <row r="159" spans="1:10" ht="15" customHeight="1">
      <c r="A159" s="32" t="str">
        <f t="shared" si="2"/>
        <v>DM10151</v>
      </c>
      <c r="B159" s="41" t="s">
        <v>0</v>
      </c>
      <c r="C159" s="41"/>
      <c r="D159" s="10"/>
      <c r="E159" s="10"/>
      <c r="F159" s="10"/>
      <c r="G159" s="10"/>
      <c r="H159" s="80"/>
      <c r="I159" s="81"/>
      <c r="J159" s="6">
        <v>151</v>
      </c>
    </row>
    <row r="160" spans="1:10" ht="15" customHeight="1">
      <c r="A160" s="32" t="str">
        <f t="shared" si="2"/>
        <v>DM10152</v>
      </c>
      <c r="B160" s="41" t="s">
        <v>0</v>
      </c>
      <c r="C160" s="41"/>
      <c r="D160" s="10"/>
      <c r="E160" s="10"/>
      <c r="F160" s="10"/>
      <c r="G160" s="10"/>
      <c r="H160" s="80"/>
      <c r="I160" s="81"/>
      <c r="J160" s="6">
        <v>152</v>
      </c>
    </row>
    <row r="161" spans="1:10" ht="15" customHeight="1">
      <c r="A161" s="32" t="str">
        <f t="shared" si="2"/>
        <v>DM10153</v>
      </c>
      <c r="B161" s="41" t="s">
        <v>0</v>
      </c>
      <c r="C161" s="41"/>
      <c r="D161" s="10"/>
      <c r="E161" s="10"/>
      <c r="F161" s="10"/>
      <c r="G161" s="10"/>
      <c r="H161" s="80"/>
      <c r="I161" s="81"/>
      <c r="J161" s="6">
        <v>153</v>
      </c>
    </row>
    <row r="162" spans="1:10" ht="15" customHeight="1">
      <c r="A162" s="32" t="str">
        <f t="shared" si="2"/>
        <v>DM10154</v>
      </c>
      <c r="B162" s="41" t="s">
        <v>0</v>
      </c>
      <c r="C162" s="41"/>
      <c r="D162" s="10"/>
      <c r="E162" s="10"/>
      <c r="F162" s="10"/>
      <c r="G162" s="10"/>
      <c r="H162" s="80"/>
      <c r="I162" s="81"/>
      <c r="J162" s="6">
        <v>154</v>
      </c>
    </row>
    <row r="163" spans="1:10" ht="15" customHeight="1">
      <c r="A163" s="32" t="str">
        <f t="shared" si="2"/>
        <v>DM10155</v>
      </c>
      <c r="B163" s="41" t="s">
        <v>0</v>
      </c>
      <c r="C163" s="41"/>
      <c r="D163" s="10"/>
      <c r="E163" s="10"/>
      <c r="F163" s="10"/>
      <c r="G163" s="10"/>
      <c r="H163" s="80"/>
      <c r="I163" s="81"/>
      <c r="J163" s="6">
        <v>155</v>
      </c>
    </row>
    <row r="164" spans="1:10" ht="15" customHeight="1">
      <c r="A164" s="32" t="str">
        <f t="shared" si="2"/>
        <v>DM10156</v>
      </c>
      <c r="B164" s="41" t="s">
        <v>0</v>
      </c>
      <c r="C164" s="41"/>
      <c r="D164" s="10"/>
      <c r="E164" s="10"/>
      <c r="F164" s="10"/>
      <c r="G164" s="10"/>
      <c r="H164" s="80"/>
      <c r="I164" s="81"/>
      <c r="J164" s="6">
        <v>156</v>
      </c>
    </row>
    <row r="165" spans="1:10" ht="15" customHeight="1">
      <c r="A165" s="32" t="str">
        <f t="shared" si="2"/>
        <v>DM10157</v>
      </c>
      <c r="B165" s="41" t="s">
        <v>0</v>
      </c>
      <c r="C165" s="41"/>
      <c r="D165" s="10"/>
      <c r="E165" s="10"/>
      <c r="F165" s="10"/>
      <c r="G165" s="10"/>
      <c r="H165" s="80"/>
      <c r="I165" s="81"/>
      <c r="J165" s="6">
        <v>157</v>
      </c>
    </row>
    <row r="166" spans="1:10" ht="15" customHeight="1">
      <c r="A166" s="32" t="str">
        <f t="shared" si="2"/>
        <v>DM10158</v>
      </c>
      <c r="B166" s="41" t="s">
        <v>0</v>
      </c>
      <c r="C166" s="41"/>
      <c r="D166" s="10"/>
      <c r="E166" s="10"/>
      <c r="F166" s="10"/>
      <c r="G166" s="10"/>
      <c r="H166" s="80"/>
      <c r="I166" s="81"/>
      <c r="J166" s="6">
        <v>158</v>
      </c>
    </row>
    <row r="167" spans="1:10" ht="15" customHeight="1">
      <c r="A167" s="32" t="str">
        <f t="shared" si="2"/>
        <v>DM10159</v>
      </c>
      <c r="B167" s="41" t="s">
        <v>0</v>
      </c>
      <c r="C167" s="41"/>
      <c r="D167" s="10"/>
      <c r="E167" s="10"/>
      <c r="F167" s="10"/>
      <c r="G167" s="10"/>
      <c r="H167" s="80"/>
      <c r="I167" s="81"/>
      <c r="J167" s="6">
        <v>159</v>
      </c>
    </row>
    <row r="168" spans="1:10" ht="15" customHeight="1">
      <c r="A168" s="32" t="str">
        <f t="shared" si="2"/>
        <v>DM10160</v>
      </c>
      <c r="B168" s="41" t="s">
        <v>0</v>
      </c>
      <c r="C168" s="41"/>
      <c r="D168" s="10"/>
      <c r="E168" s="10"/>
      <c r="F168" s="10"/>
      <c r="G168" s="10"/>
      <c r="H168" s="80"/>
      <c r="I168" s="81"/>
      <c r="J168" s="6">
        <v>160</v>
      </c>
    </row>
    <row r="169" spans="1:10" ht="15" customHeight="1">
      <c r="A169" s="32" t="str">
        <f t="shared" si="2"/>
        <v>DM10161</v>
      </c>
      <c r="B169" s="41" t="s">
        <v>0</v>
      </c>
      <c r="C169" s="41"/>
      <c r="D169" s="10"/>
      <c r="E169" s="10"/>
      <c r="F169" s="10"/>
      <c r="G169" s="10"/>
      <c r="H169" s="80"/>
      <c r="I169" s="81"/>
      <c r="J169" s="6">
        <v>161</v>
      </c>
    </row>
    <row r="170" spans="1:10" ht="15" customHeight="1">
      <c r="A170" s="32" t="str">
        <f t="shared" si="2"/>
        <v>DM10162</v>
      </c>
      <c r="B170" s="41" t="s">
        <v>0</v>
      </c>
      <c r="C170" s="41"/>
      <c r="D170" s="10"/>
      <c r="E170" s="10"/>
      <c r="F170" s="10"/>
      <c r="G170" s="10"/>
      <c r="H170" s="80"/>
      <c r="I170" s="81"/>
      <c r="J170" s="6">
        <v>162</v>
      </c>
    </row>
    <row r="171" spans="1:10" ht="15" customHeight="1">
      <c r="A171" s="32" t="str">
        <f t="shared" si="2"/>
        <v>DM10163</v>
      </c>
      <c r="B171" s="41" t="s">
        <v>0</v>
      </c>
      <c r="C171" s="41"/>
      <c r="D171" s="10"/>
      <c r="E171" s="10"/>
      <c r="F171" s="10"/>
      <c r="G171" s="10"/>
      <c r="H171" s="80"/>
      <c r="I171" s="81"/>
      <c r="J171" s="6">
        <v>163</v>
      </c>
    </row>
    <row r="172" spans="1:10" ht="15" customHeight="1">
      <c r="A172" s="32" t="str">
        <f t="shared" si="2"/>
        <v>DM10164</v>
      </c>
      <c r="B172" s="41" t="s">
        <v>0</v>
      </c>
      <c r="C172" s="41"/>
      <c r="D172" s="10"/>
      <c r="E172" s="10"/>
      <c r="F172" s="10"/>
      <c r="G172" s="10"/>
      <c r="H172" s="80"/>
      <c r="I172" s="81"/>
      <c r="J172" s="6">
        <v>164</v>
      </c>
    </row>
    <row r="173" spans="1:10" ht="15" customHeight="1">
      <c r="A173" s="32" t="str">
        <f t="shared" si="2"/>
        <v>DM10165</v>
      </c>
      <c r="B173" s="41" t="s">
        <v>0</v>
      </c>
      <c r="C173" s="41"/>
      <c r="D173" s="10"/>
      <c r="E173" s="10"/>
      <c r="F173" s="10"/>
      <c r="G173" s="10"/>
      <c r="H173" s="80"/>
      <c r="I173" s="81"/>
      <c r="J173" s="6">
        <v>165</v>
      </c>
    </row>
    <row r="174" spans="1:10" ht="15" customHeight="1">
      <c r="A174" s="32" t="str">
        <f t="shared" si="2"/>
        <v>DM10166</v>
      </c>
      <c r="B174" s="41" t="s">
        <v>0</v>
      </c>
      <c r="C174" s="41"/>
      <c r="D174" s="10"/>
      <c r="E174" s="10"/>
      <c r="F174" s="10"/>
      <c r="G174" s="10"/>
      <c r="H174" s="80"/>
      <c r="I174" s="81"/>
      <c r="J174" s="6">
        <v>166</v>
      </c>
    </row>
    <row r="175" spans="1:10" ht="15" customHeight="1">
      <c r="A175" s="32" t="str">
        <f t="shared" si="2"/>
        <v>DM10167</v>
      </c>
      <c r="B175" s="41" t="s">
        <v>0</v>
      </c>
      <c r="C175" s="41"/>
      <c r="D175" s="10"/>
      <c r="E175" s="10"/>
      <c r="F175" s="10"/>
      <c r="G175" s="10"/>
      <c r="H175" s="80"/>
      <c r="I175" s="81"/>
      <c r="J175" s="6">
        <v>167</v>
      </c>
    </row>
    <row r="176" spans="1:10" ht="15" customHeight="1">
      <c r="A176" s="32" t="str">
        <f t="shared" si="2"/>
        <v>DM10168</v>
      </c>
      <c r="B176" s="41" t="s">
        <v>0</v>
      </c>
      <c r="C176" s="41"/>
      <c r="D176" s="10"/>
      <c r="E176" s="10"/>
      <c r="F176" s="10"/>
      <c r="G176" s="10"/>
      <c r="H176" s="80"/>
      <c r="I176" s="81"/>
      <c r="J176" s="6">
        <v>168</v>
      </c>
    </row>
    <row r="177" spans="1:10" ht="15" customHeight="1">
      <c r="A177" s="32" t="str">
        <f t="shared" si="2"/>
        <v>DM10169</v>
      </c>
      <c r="B177" s="41" t="s">
        <v>0</v>
      </c>
      <c r="C177" s="41"/>
      <c r="D177" s="10"/>
      <c r="E177" s="10"/>
      <c r="F177" s="10"/>
      <c r="G177" s="10"/>
      <c r="H177" s="80"/>
      <c r="I177" s="81"/>
      <c r="J177" s="6">
        <v>169</v>
      </c>
    </row>
    <row r="178" spans="1:10" ht="15" customHeight="1">
      <c r="A178" s="32" t="str">
        <f t="shared" si="2"/>
        <v>DM10170</v>
      </c>
      <c r="B178" s="41" t="s">
        <v>0</v>
      </c>
      <c r="C178" s="41"/>
      <c r="D178" s="10"/>
      <c r="E178" s="10"/>
      <c r="F178" s="10"/>
      <c r="G178" s="10"/>
      <c r="H178" s="80"/>
      <c r="I178" s="81"/>
      <c r="J178" s="6">
        <v>170</v>
      </c>
    </row>
    <row r="179" spans="1:10" ht="15" customHeight="1">
      <c r="A179" s="32" t="str">
        <f t="shared" si="2"/>
        <v>DM10171</v>
      </c>
      <c r="B179" s="41" t="s">
        <v>0</v>
      </c>
      <c r="C179" s="41"/>
      <c r="D179" s="10"/>
      <c r="E179" s="10"/>
      <c r="F179" s="10"/>
      <c r="G179" s="10"/>
      <c r="H179" s="80"/>
      <c r="I179" s="81"/>
      <c r="J179" s="6">
        <v>171</v>
      </c>
    </row>
    <row r="180" spans="1:10" ht="15" customHeight="1">
      <c r="A180" s="32" t="str">
        <f t="shared" si="2"/>
        <v>DM10172</v>
      </c>
      <c r="B180" s="41" t="s">
        <v>0</v>
      </c>
      <c r="C180" s="41"/>
      <c r="D180" s="10"/>
      <c r="E180" s="10"/>
      <c r="F180" s="10"/>
      <c r="G180" s="10"/>
      <c r="H180" s="80"/>
      <c r="I180" s="81"/>
      <c r="J180" s="6">
        <v>172</v>
      </c>
    </row>
    <row r="181" spans="1:10" ht="15" customHeight="1">
      <c r="A181" s="32" t="str">
        <f t="shared" si="2"/>
        <v>DM10173</v>
      </c>
      <c r="B181" s="41" t="s">
        <v>0</v>
      </c>
      <c r="C181" s="41"/>
      <c r="D181" s="10"/>
      <c r="E181" s="10"/>
      <c r="F181" s="10"/>
      <c r="G181" s="10"/>
      <c r="H181" s="80"/>
      <c r="I181" s="81"/>
      <c r="J181" s="6">
        <v>173</v>
      </c>
    </row>
    <row r="182" spans="1:10" ht="15" customHeight="1">
      <c r="A182" s="32" t="str">
        <f t="shared" si="2"/>
        <v>DM10174</v>
      </c>
      <c r="B182" s="41" t="s">
        <v>0</v>
      </c>
      <c r="C182" s="41"/>
      <c r="D182" s="10"/>
      <c r="E182" s="10"/>
      <c r="F182" s="10"/>
      <c r="G182" s="10"/>
      <c r="H182" s="80"/>
      <c r="I182" s="81"/>
      <c r="J182" s="6">
        <v>174</v>
      </c>
    </row>
    <row r="183" spans="1:10" ht="15" customHeight="1">
      <c r="A183" s="32" t="str">
        <f t="shared" si="2"/>
        <v>DM10175</v>
      </c>
      <c r="B183" s="41" t="s">
        <v>0</v>
      </c>
      <c r="C183" s="41"/>
      <c r="D183" s="10"/>
      <c r="E183" s="10"/>
      <c r="F183" s="10"/>
      <c r="G183" s="10"/>
      <c r="H183" s="80"/>
      <c r="I183" s="81"/>
      <c r="J183" s="6">
        <v>175</v>
      </c>
    </row>
    <row r="184" spans="1:10" ht="15" customHeight="1">
      <c r="A184" s="32" t="str">
        <f t="shared" si="2"/>
        <v>DM10176</v>
      </c>
      <c r="B184" s="41" t="s">
        <v>0</v>
      </c>
      <c r="C184" s="41"/>
      <c r="D184" s="10"/>
      <c r="E184" s="10"/>
      <c r="F184" s="10"/>
      <c r="G184" s="10"/>
      <c r="H184" s="80"/>
      <c r="I184" s="81"/>
      <c r="J184" s="6">
        <v>176</v>
      </c>
    </row>
    <row r="185" spans="1:10" ht="15" customHeight="1">
      <c r="A185" s="32" t="str">
        <f t="shared" si="2"/>
        <v>DM10177</v>
      </c>
      <c r="B185" s="41" t="s">
        <v>0</v>
      </c>
      <c r="C185" s="41"/>
      <c r="D185" s="10"/>
      <c r="E185" s="10"/>
      <c r="F185" s="10"/>
      <c r="G185" s="10"/>
      <c r="H185" s="80"/>
      <c r="I185" s="81"/>
      <c r="J185" s="6">
        <v>177</v>
      </c>
    </row>
    <row r="186" spans="1:10" ht="15" customHeight="1">
      <c r="A186" s="32" t="str">
        <f t="shared" ref="A186:A207" si="3">LEFT($C$3, 2) &amp; (MID($C$3, 3, LEN($C$3)) + J186)</f>
        <v>DM10178</v>
      </c>
      <c r="B186" s="41" t="s">
        <v>0</v>
      </c>
      <c r="C186" s="41"/>
      <c r="D186" s="10"/>
      <c r="E186" s="10"/>
      <c r="F186" s="10"/>
      <c r="G186" s="10"/>
      <c r="H186" s="80"/>
      <c r="I186" s="81"/>
      <c r="J186" s="6">
        <v>178</v>
      </c>
    </row>
    <row r="187" spans="1:10" ht="15" customHeight="1">
      <c r="A187" s="32" t="str">
        <f t="shared" si="3"/>
        <v>DM10179</v>
      </c>
      <c r="B187" s="41" t="s">
        <v>0</v>
      </c>
      <c r="C187" s="41"/>
      <c r="D187" s="10"/>
      <c r="E187" s="10"/>
      <c r="F187" s="10"/>
      <c r="G187" s="10"/>
      <c r="H187" s="80"/>
      <c r="I187" s="81"/>
      <c r="J187" s="6">
        <v>179</v>
      </c>
    </row>
    <row r="188" spans="1:10" ht="15" customHeight="1">
      <c r="A188" s="32" t="str">
        <f t="shared" si="3"/>
        <v>DM10180</v>
      </c>
      <c r="B188" s="41" t="s">
        <v>0</v>
      </c>
      <c r="C188" s="41"/>
      <c r="D188" s="10"/>
      <c r="E188" s="10"/>
      <c r="F188" s="10"/>
      <c r="G188" s="10"/>
      <c r="H188" s="80"/>
      <c r="I188" s="81"/>
      <c r="J188" s="6">
        <v>180</v>
      </c>
    </row>
    <row r="189" spans="1:10" ht="15" customHeight="1">
      <c r="A189" s="32" t="str">
        <f t="shared" si="3"/>
        <v>DM10181</v>
      </c>
      <c r="B189" s="41" t="s">
        <v>0</v>
      </c>
      <c r="C189" s="41"/>
      <c r="D189" s="10"/>
      <c r="E189" s="10"/>
      <c r="F189" s="10"/>
      <c r="G189" s="10"/>
      <c r="H189" s="80"/>
      <c r="I189" s="81"/>
      <c r="J189" s="6">
        <v>181</v>
      </c>
    </row>
    <row r="190" spans="1:10" ht="15" customHeight="1">
      <c r="A190" s="32" t="str">
        <f t="shared" si="3"/>
        <v>DM10182</v>
      </c>
      <c r="B190" s="41" t="s">
        <v>0</v>
      </c>
      <c r="C190" s="41"/>
      <c r="D190" s="10"/>
      <c r="E190" s="10"/>
      <c r="F190" s="10"/>
      <c r="G190" s="10"/>
      <c r="H190" s="80"/>
      <c r="I190" s="81"/>
      <c r="J190" s="6">
        <v>182</v>
      </c>
    </row>
    <row r="191" spans="1:10" ht="15" customHeight="1">
      <c r="A191" s="32" t="str">
        <f t="shared" si="3"/>
        <v>DM10183</v>
      </c>
      <c r="B191" s="41" t="s">
        <v>0</v>
      </c>
      <c r="C191" s="41"/>
      <c r="D191" s="10"/>
      <c r="E191" s="10"/>
      <c r="F191" s="10"/>
      <c r="G191" s="10"/>
      <c r="H191" s="80"/>
      <c r="I191" s="81"/>
      <c r="J191" s="6">
        <v>183</v>
      </c>
    </row>
    <row r="192" spans="1:10" ht="15" customHeight="1">
      <c r="A192" s="32" t="str">
        <f t="shared" si="3"/>
        <v>DM10184</v>
      </c>
      <c r="B192" s="41" t="s">
        <v>0</v>
      </c>
      <c r="C192" s="41"/>
      <c r="D192" s="10"/>
      <c r="E192" s="10"/>
      <c r="F192" s="10"/>
      <c r="G192" s="10"/>
      <c r="H192" s="80"/>
      <c r="I192" s="81"/>
      <c r="J192" s="6">
        <v>184</v>
      </c>
    </row>
    <row r="193" spans="1:10" ht="15" customHeight="1">
      <c r="A193" s="32" t="str">
        <f t="shared" si="3"/>
        <v>DM10185</v>
      </c>
      <c r="B193" s="41" t="s">
        <v>0</v>
      </c>
      <c r="C193" s="41"/>
      <c r="D193" s="10"/>
      <c r="E193" s="10"/>
      <c r="F193" s="10"/>
      <c r="G193" s="10"/>
      <c r="H193" s="80"/>
      <c r="I193" s="81"/>
      <c r="J193" s="6">
        <v>185</v>
      </c>
    </row>
    <row r="194" spans="1:10" ht="15" customHeight="1">
      <c r="A194" s="32" t="str">
        <f t="shared" si="3"/>
        <v>DM10186</v>
      </c>
      <c r="B194" s="41" t="s">
        <v>0</v>
      </c>
      <c r="C194" s="41"/>
      <c r="D194" s="10"/>
      <c r="E194" s="10"/>
      <c r="F194" s="10"/>
      <c r="G194" s="10"/>
      <c r="H194" s="80"/>
      <c r="I194" s="81"/>
      <c r="J194" s="6">
        <v>186</v>
      </c>
    </row>
    <row r="195" spans="1:10" ht="15" customHeight="1">
      <c r="A195" s="32" t="str">
        <f t="shared" si="3"/>
        <v>DM10187</v>
      </c>
      <c r="B195" s="41" t="s">
        <v>0</v>
      </c>
      <c r="C195" s="41"/>
      <c r="D195" s="10"/>
      <c r="E195" s="10"/>
      <c r="F195" s="10"/>
      <c r="G195" s="10"/>
      <c r="H195" s="80"/>
      <c r="I195" s="81"/>
      <c r="J195" s="6">
        <v>187</v>
      </c>
    </row>
    <row r="196" spans="1:10" ht="15" customHeight="1">
      <c r="A196" s="32" t="str">
        <f t="shared" si="3"/>
        <v>DM10188</v>
      </c>
      <c r="B196" s="41" t="s">
        <v>0</v>
      </c>
      <c r="C196" s="41"/>
      <c r="D196" s="10"/>
      <c r="E196" s="10"/>
      <c r="F196" s="10"/>
      <c r="G196" s="10"/>
      <c r="H196" s="80"/>
      <c r="I196" s="81"/>
      <c r="J196" s="6">
        <v>188</v>
      </c>
    </row>
    <row r="197" spans="1:10" ht="15" customHeight="1">
      <c r="A197" s="32" t="str">
        <f t="shared" si="3"/>
        <v>DM10189</v>
      </c>
      <c r="B197" s="41" t="s">
        <v>0</v>
      </c>
      <c r="C197" s="41"/>
      <c r="D197" s="10"/>
      <c r="E197" s="10"/>
      <c r="F197" s="10"/>
      <c r="G197" s="10"/>
      <c r="H197" s="80"/>
      <c r="I197" s="81"/>
      <c r="J197" s="6">
        <v>189</v>
      </c>
    </row>
    <row r="198" spans="1:10" ht="15" customHeight="1">
      <c r="A198" s="32" t="str">
        <f t="shared" si="3"/>
        <v>DM10190</v>
      </c>
      <c r="B198" s="41" t="s">
        <v>0</v>
      </c>
      <c r="C198" s="41"/>
      <c r="D198" s="10"/>
      <c r="E198" s="10"/>
      <c r="F198" s="10"/>
      <c r="G198" s="10"/>
      <c r="H198" s="80"/>
      <c r="I198" s="81"/>
      <c r="J198" s="6">
        <v>190</v>
      </c>
    </row>
    <row r="199" spans="1:10" ht="15" customHeight="1">
      <c r="A199" s="32" t="str">
        <f t="shared" si="3"/>
        <v>DM10191</v>
      </c>
      <c r="B199" s="41" t="s">
        <v>0</v>
      </c>
      <c r="C199" s="41"/>
      <c r="D199" s="10"/>
      <c r="E199" s="10"/>
      <c r="F199" s="10"/>
      <c r="G199" s="10"/>
      <c r="H199" s="80"/>
      <c r="I199" s="81"/>
      <c r="J199" s="6">
        <v>191</v>
      </c>
    </row>
    <row r="200" spans="1:10" ht="15" customHeight="1">
      <c r="A200" s="32" t="str">
        <f t="shared" si="3"/>
        <v>DM10192</v>
      </c>
      <c r="B200" s="41" t="s">
        <v>0</v>
      </c>
      <c r="C200" s="41"/>
      <c r="D200" s="10"/>
      <c r="E200" s="10"/>
      <c r="F200" s="10"/>
      <c r="G200" s="10"/>
      <c r="H200" s="80"/>
      <c r="I200" s="81"/>
      <c r="J200" s="6">
        <v>192</v>
      </c>
    </row>
    <row r="201" spans="1:10" ht="15" customHeight="1">
      <c r="A201" s="32" t="str">
        <f t="shared" si="3"/>
        <v>DM10193</v>
      </c>
      <c r="B201" s="41" t="s">
        <v>0</v>
      </c>
      <c r="C201" s="41"/>
      <c r="D201" s="10"/>
      <c r="E201" s="10"/>
      <c r="F201" s="10"/>
      <c r="G201" s="10"/>
      <c r="H201" s="80"/>
      <c r="I201" s="81"/>
      <c r="J201" s="6">
        <v>193</v>
      </c>
    </row>
    <row r="202" spans="1:10" ht="15" customHeight="1">
      <c r="A202" s="32" t="str">
        <f t="shared" si="3"/>
        <v>DM10194</v>
      </c>
      <c r="B202" s="41" t="s">
        <v>0</v>
      </c>
      <c r="C202" s="41"/>
      <c r="D202" s="10"/>
      <c r="E202" s="10"/>
      <c r="F202" s="10"/>
      <c r="G202" s="10"/>
      <c r="H202" s="80"/>
      <c r="I202" s="81"/>
      <c r="J202" s="6">
        <v>194</v>
      </c>
    </row>
    <row r="203" spans="1:10" ht="15" customHeight="1">
      <c r="A203" s="32" t="str">
        <f t="shared" si="3"/>
        <v>DM10195</v>
      </c>
      <c r="B203" s="41" t="s">
        <v>0</v>
      </c>
      <c r="C203" s="41"/>
      <c r="D203" s="10"/>
      <c r="E203" s="10"/>
      <c r="F203" s="10"/>
      <c r="G203" s="10"/>
      <c r="H203" s="80"/>
      <c r="I203" s="81"/>
      <c r="J203" s="6">
        <v>195</v>
      </c>
    </row>
    <row r="204" spans="1:10" ht="15" customHeight="1">
      <c r="A204" s="32" t="str">
        <f t="shared" si="3"/>
        <v>DM10196</v>
      </c>
      <c r="B204" s="41" t="s">
        <v>0</v>
      </c>
      <c r="C204" s="41"/>
      <c r="D204" s="10"/>
      <c r="E204" s="10"/>
      <c r="F204" s="10"/>
      <c r="G204" s="10"/>
      <c r="H204" s="80"/>
      <c r="I204" s="81"/>
      <c r="J204" s="6">
        <v>196</v>
      </c>
    </row>
    <row r="205" spans="1:10" ht="15" customHeight="1">
      <c r="A205" s="32" t="str">
        <f t="shared" si="3"/>
        <v>DM10197</v>
      </c>
      <c r="B205" s="41" t="s">
        <v>0</v>
      </c>
      <c r="C205" s="41"/>
      <c r="D205" s="10"/>
      <c r="E205" s="10"/>
      <c r="F205" s="10"/>
      <c r="G205" s="10"/>
      <c r="H205" s="80"/>
      <c r="I205" s="81"/>
      <c r="J205" s="6">
        <v>197</v>
      </c>
    </row>
    <row r="206" spans="1:10" ht="15" customHeight="1">
      <c r="A206" s="32" t="str">
        <f t="shared" si="3"/>
        <v>DM10198</v>
      </c>
      <c r="B206" s="41" t="s">
        <v>0</v>
      </c>
      <c r="C206" s="41"/>
      <c r="D206" s="10"/>
      <c r="E206" s="10"/>
      <c r="F206" s="10"/>
      <c r="G206" s="10"/>
      <c r="H206" s="80"/>
      <c r="I206" s="81"/>
      <c r="J206" s="6">
        <v>198</v>
      </c>
    </row>
    <row r="207" spans="1:10" ht="15" customHeight="1">
      <c r="A207" s="32" t="str">
        <f t="shared" si="3"/>
        <v>DM10199</v>
      </c>
      <c r="B207" s="41" t="s">
        <v>0</v>
      </c>
      <c r="C207" s="41"/>
      <c r="D207" s="10"/>
      <c r="E207" s="10"/>
      <c r="F207" s="10"/>
      <c r="G207" s="10"/>
      <c r="H207" s="80"/>
      <c r="I207" s="81"/>
      <c r="J207" s="6">
        <v>199</v>
      </c>
    </row>
  </sheetData>
  <mergeCells count="247">
    <mergeCell ref="D115:E115"/>
    <mergeCell ref="F115:G115"/>
    <mergeCell ref="D116:E116"/>
    <mergeCell ref="F116:G116"/>
    <mergeCell ref="D117:E117"/>
    <mergeCell ref="F122:G122"/>
    <mergeCell ref="D123:E123"/>
    <mergeCell ref="F123:G123"/>
    <mergeCell ref="B118:B127"/>
    <mergeCell ref="C118:C127"/>
    <mergeCell ref="D118:E118"/>
    <mergeCell ref="F118:G118"/>
    <mergeCell ref="H118:H127"/>
    <mergeCell ref="I118:I127"/>
    <mergeCell ref="D119:E119"/>
    <mergeCell ref="F119:G119"/>
    <mergeCell ref="D120:E120"/>
    <mergeCell ref="F120:G120"/>
    <mergeCell ref="B98:B107"/>
    <mergeCell ref="C98:C107"/>
    <mergeCell ref="D100:E100"/>
    <mergeCell ref="F100:G100"/>
    <mergeCell ref="D101:E101"/>
    <mergeCell ref="F101:G101"/>
    <mergeCell ref="D106:E106"/>
    <mergeCell ref="F106:G106"/>
    <mergeCell ref="D107:E107"/>
    <mergeCell ref="F107:G107"/>
    <mergeCell ref="H98:H107"/>
    <mergeCell ref="I98:I107"/>
    <mergeCell ref="B108:B117"/>
    <mergeCell ref="C108:C117"/>
    <mergeCell ref="H108:H117"/>
    <mergeCell ref="I108:I117"/>
    <mergeCell ref="D111:E111"/>
    <mergeCell ref="F111:G111"/>
    <mergeCell ref="B78:B87"/>
    <mergeCell ref="C78:C87"/>
    <mergeCell ref="H78:H87"/>
    <mergeCell ref="I78:I87"/>
    <mergeCell ref="B88:B97"/>
    <mergeCell ref="C88:C97"/>
    <mergeCell ref="H88:H97"/>
    <mergeCell ref="I88:I97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H58:H67"/>
    <mergeCell ref="I58:I67"/>
    <mergeCell ref="B68:B77"/>
    <mergeCell ref="C68:C77"/>
    <mergeCell ref="H68:H77"/>
    <mergeCell ref="I68:I77"/>
    <mergeCell ref="D55:E55"/>
    <mergeCell ref="F55:G55"/>
    <mergeCell ref="D56:E56"/>
    <mergeCell ref="F56:G56"/>
    <mergeCell ref="D57:E57"/>
    <mergeCell ref="F57:G57"/>
    <mergeCell ref="I48:I57"/>
    <mergeCell ref="B48:B57"/>
    <mergeCell ref="C48:C57"/>
    <mergeCell ref="D74:E74"/>
    <mergeCell ref="F74:G74"/>
    <mergeCell ref="D75:E75"/>
    <mergeCell ref="F75:G75"/>
    <mergeCell ref="D76:E76"/>
    <mergeCell ref="F76:G76"/>
    <mergeCell ref="D71:E71"/>
    <mergeCell ref="F71:G71"/>
    <mergeCell ref="D52:E52"/>
    <mergeCell ref="F52:G52"/>
    <mergeCell ref="D53:E53"/>
    <mergeCell ref="F53:G53"/>
    <mergeCell ref="D54:E54"/>
    <mergeCell ref="F54:G54"/>
    <mergeCell ref="D48:E48"/>
    <mergeCell ref="F48:G48"/>
    <mergeCell ref="H48:H57"/>
    <mergeCell ref="D49:E49"/>
    <mergeCell ref="F49:G49"/>
    <mergeCell ref="D50:E50"/>
    <mergeCell ref="F50:G50"/>
    <mergeCell ref="D51:E51"/>
    <mergeCell ref="F51:G51"/>
    <mergeCell ref="H38:H47"/>
    <mergeCell ref="I38:I47"/>
    <mergeCell ref="D45:E45"/>
    <mergeCell ref="F45:G45"/>
    <mergeCell ref="D46:E46"/>
    <mergeCell ref="F46:G46"/>
    <mergeCell ref="D47:E47"/>
    <mergeCell ref="F47:G47"/>
    <mergeCell ref="B28:B37"/>
    <mergeCell ref="C28:C37"/>
    <mergeCell ref="H28:H37"/>
    <mergeCell ref="I28:I37"/>
    <mergeCell ref="B38:B47"/>
    <mergeCell ref="C38:C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125:E125"/>
    <mergeCell ref="F125:G125"/>
    <mergeCell ref="D126:E126"/>
    <mergeCell ref="F126:G126"/>
    <mergeCell ref="D127:E127"/>
    <mergeCell ref="F127:G127"/>
    <mergeCell ref="D108:E108"/>
    <mergeCell ref="F108:G108"/>
    <mergeCell ref="D109:E109"/>
    <mergeCell ref="F109:G109"/>
    <mergeCell ref="D110:E110"/>
    <mergeCell ref="F110:G110"/>
    <mergeCell ref="F117:G117"/>
    <mergeCell ref="D112:E112"/>
    <mergeCell ref="F112:G112"/>
    <mergeCell ref="D113:E113"/>
    <mergeCell ref="F113:G113"/>
    <mergeCell ref="D114:E114"/>
    <mergeCell ref="F114:G114"/>
    <mergeCell ref="D124:E124"/>
    <mergeCell ref="F124:G124"/>
    <mergeCell ref="D121:E121"/>
    <mergeCell ref="F121:G121"/>
    <mergeCell ref="D122:E122"/>
    <mergeCell ref="D97:E97"/>
    <mergeCell ref="F97:G97"/>
    <mergeCell ref="D98:E98"/>
    <mergeCell ref="F98:G98"/>
    <mergeCell ref="D99:E99"/>
    <mergeCell ref="F99:G99"/>
    <mergeCell ref="D94:E94"/>
    <mergeCell ref="F94:G94"/>
    <mergeCell ref="D95:E95"/>
    <mergeCell ref="F95:G95"/>
    <mergeCell ref="D96:E96"/>
    <mergeCell ref="F96:G96"/>
    <mergeCell ref="D91:E91"/>
    <mergeCell ref="F91:G91"/>
    <mergeCell ref="D92:E92"/>
    <mergeCell ref="F92:G92"/>
    <mergeCell ref="D93:E93"/>
    <mergeCell ref="F93:G93"/>
    <mergeCell ref="D88:E88"/>
    <mergeCell ref="F88:G88"/>
    <mergeCell ref="D89:E89"/>
    <mergeCell ref="F89:G89"/>
    <mergeCell ref="D90:E90"/>
    <mergeCell ref="F90:G90"/>
    <mergeCell ref="D86:E86"/>
    <mergeCell ref="F86:G86"/>
    <mergeCell ref="D87:E87"/>
    <mergeCell ref="F87:G87"/>
    <mergeCell ref="D77:E77"/>
    <mergeCell ref="F77:G77"/>
    <mergeCell ref="D78:E78"/>
    <mergeCell ref="F78:G78"/>
    <mergeCell ref="D79:E79"/>
    <mergeCell ref="F79:G79"/>
    <mergeCell ref="D82:E82"/>
    <mergeCell ref="F82:G82"/>
    <mergeCell ref="D83:E83"/>
    <mergeCell ref="F83:G83"/>
    <mergeCell ref="D84:E84"/>
    <mergeCell ref="F84:G84"/>
    <mergeCell ref="D85:E85"/>
    <mergeCell ref="F85:G85"/>
    <mergeCell ref="D80:E80"/>
    <mergeCell ref="F80:G80"/>
    <mergeCell ref="D81:E81"/>
    <mergeCell ref="F81:G81"/>
    <mergeCell ref="D72:E72"/>
    <mergeCell ref="F72:G72"/>
    <mergeCell ref="D73:E73"/>
    <mergeCell ref="F73:G73"/>
    <mergeCell ref="D68:E68"/>
    <mergeCell ref="F68:G68"/>
    <mergeCell ref="D69:E69"/>
    <mergeCell ref="F69:G69"/>
    <mergeCell ref="D70:E70"/>
    <mergeCell ref="F70:G70"/>
    <mergeCell ref="F60:G60"/>
    <mergeCell ref="D61:E61"/>
    <mergeCell ref="F61:G61"/>
    <mergeCell ref="F66:G66"/>
    <mergeCell ref="D67:E67"/>
    <mergeCell ref="F67:G67"/>
    <mergeCell ref="B58:B67"/>
    <mergeCell ref="D58:E58"/>
    <mergeCell ref="F58:G58"/>
    <mergeCell ref="D59:E59"/>
    <mergeCell ref="F59:G59"/>
    <mergeCell ref="D60:E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C58:C67"/>
    <mergeCell ref="D32:E32"/>
    <mergeCell ref="F32:G32"/>
    <mergeCell ref="D28:E28"/>
    <mergeCell ref="F28:G28"/>
    <mergeCell ref="D29:E29"/>
    <mergeCell ref="F29:G29"/>
    <mergeCell ref="D41:E41"/>
    <mergeCell ref="F41:G41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A6:I6"/>
    <mergeCell ref="B1:I1"/>
    <mergeCell ref="D2:I2"/>
    <mergeCell ref="A3:B3"/>
    <mergeCell ref="A4:B4"/>
    <mergeCell ref="D5:G5"/>
    <mergeCell ref="D30:E30"/>
    <mergeCell ref="F30:G30"/>
    <mergeCell ref="D31:E31"/>
    <mergeCell ref="F31:G31"/>
    <mergeCell ref="A27:I27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C15C-1DB6-4489-A2A6-9DC5FF1C24FD}">
  <dimension ref="A1:J398"/>
  <sheetViews>
    <sheetView showGridLines="0" topLeftCell="A349" zoomScale="85" zoomScaleNormal="85" zoomScaleSheetLayoutView="75" workbookViewId="0">
      <selection activeCell="B397" sqref="B397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37" t="s">
        <v>50</v>
      </c>
      <c r="C1" s="138"/>
      <c r="D1" s="138"/>
      <c r="E1" s="138"/>
      <c r="F1" s="138"/>
      <c r="G1" s="138"/>
      <c r="H1" s="138"/>
      <c r="I1" s="139"/>
    </row>
    <row r="2" spans="1:10">
      <c r="A2" s="50"/>
      <c r="B2" s="36" t="s">
        <v>9</v>
      </c>
      <c r="C2" s="63"/>
      <c r="D2" s="140" t="str">
        <f>Cover!C13</f>
        <v>CIM Equipment spec.</v>
      </c>
      <c r="E2" s="140"/>
      <c r="F2" s="140"/>
      <c r="G2" s="140"/>
      <c r="H2" s="140"/>
      <c r="I2" s="141"/>
    </row>
    <row r="3" spans="1:10" ht="15" customHeight="1">
      <c r="A3" s="142" t="s">
        <v>190</v>
      </c>
      <c r="B3" s="143"/>
      <c r="C3" s="58" t="s">
        <v>248</v>
      </c>
      <c r="D3" s="58"/>
      <c r="F3" s="6"/>
      <c r="G3" s="6"/>
      <c r="I3" s="37"/>
    </row>
    <row r="4" spans="1:10" ht="15.6" customHeight="1">
      <c r="A4" s="144"/>
      <c r="B4" s="145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46" t="s">
        <v>52</v>
      </c>
      <c r="E5" s="147"/>
      <c r="F5" s="147"/>
      <c r="G5" s="148"/>
      <c r="H5" s="30" t="s">
        <v>5</v>
      </c>
      <c r="I5" s="40" t="s">
        <v>6</v>
      </c>
    </row>
    <row r="6" spans="1:10" ht="15.6" customHeight="1">
      <c r="A6" s="134" t="s">
        <v>192</v>
      </c>
      <c r="B6" s="135"/>
      <c r="C6" s="135"/>
      <c r="D6" s="135"/>
      <c r="E6" s="135"/>
      <c r="F6" s="135"/>
      <c r="G6" s="135"/>
      <c r="H6" s="135"/>
      <c r="I6" s="136"/>
    </row>
    <row r="7" spans="1:10" ht="151.5" customHeight="1">
      <c r="A7" s="32" t="str">
        <f t="shared" ref="A7:A12" si="0">LEFT($C$3, 2) &amp; (MID($C$3, 3, LEN($C$3)) + J7)</f>
        <v>DM11000</v>
      </c>
      <c r="B7" s="59" t="s">
        <v>51</v>
      </c>
      <c r="C7" s="66" t="s">
        <v>81</v>
      </c>
      <c r="D7" s="60" t="s">
        <v>2</v>
      </c>
      <c r="E7" s="61" t="s">
        <v>2</v>
      </c>
      <c r="F7" s="45" t="s">
        <v>198</v>
      </c>
      <c r="G7" s="45" t="s">
        <v>54</v>
      </c>
      <c r="H7" s="65" t="s">
        <v>207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DM11001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198</v>
      </c>
      <c r="G8" s="45" t="s">
        <v>54</v>
      </c>
      <c r="H8" s="65" t="s">
        <v>199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DM11002</v>
      </c>
      <c r="B9" s="62" t="s">
        <v>56</v>
      </c>
      <c r="C9" s="66" t="s">
        <v>116</v>
      </c>
      <c r="D9" s="60" t="s">
        <v>176</v>
      </c>
      <c r="E9" s="61">
        <v>0</v>
      </c>
      <c r="F9" s="61">
        <v>0</v>
      </c>
      <c r="G9" s="45" t="s">
        <v>193</v>
      </c>
      <c r="H9" s="67" t="s">
        <v>194</v>
      </c>
      <c r="I9" s="44"/>
      <c r="J9" s="107" t="s">
        <v>179</v>
      </c>
    </row>
    <row r="10" spans="1:10" ht="151.5" customHeight="1">
      <c r="A10" s="32" t="str">
        <f t="shared" si="0"/>
        <v>DM11003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45" t="s">
        <v>193</v>
      </c>
      <c r="H10" s="67" t="s">
        <v>194</v>
      </c>
      <c r="I10" s="43"/>
      <c r="J10" s="107" t="s">
        <v>180</v>
      </c>
    </row>
    <row r="11" spans="1:10" ht="151.5" customHeight="1">
      <c r="A11" s="32" t="str">
        <f t="shared" si="0"/>
        <v>DM11004</v>
      </c>
      <c r="B11" s="62" t="s">
        <v>206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193</v>
      </c>
      <c r="H11" s="67" t="s">
        <v>208</v>
      </c>
      <c r="I11" s="43"/>
      <c r="J11" s="107" t="s">
        <v>205</v>
      </c>
    </row>
    <row r="12" spans="1:10" ht="151.5" customHeight="1" thickBot="1">
      <c r="A12" s="32" t="str">
        <f t="shared" si="0"/>
        <v>DM11005</v>
      </c>
      <c r="B12" s="62" t="s">
        <v>210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193</v>
      </c>
      <c r="H12" s="67" t="s">
        <v>211</v>
      </c>
      <c r="I12" s="43"/>
      <c r="J12" s="107" t="s">
        <v>209</v>
      </c>
    </row>
    <row r="13" spans="1:10" ht="15.6" customHeight="1">
      <c r="A13" s="134" t="s">
        <v>118</v>
      </c>
      <c r="B13" s="135"/>
      <c r="C13" s="135"/>
      <c r="D13" s="135"/>
      <c r="E13" s="135"/>
      <c r="F13" s="135"/>
      <c r="G13" s="135"/>
      <c r="H13" s="135"/>
      <c r="I13" s="136"/>
    </row>
    <row r="14" spans="1:10">
      <c r="A14" s="32" t="str">
        <f t="shared" ref="A14:A45" si="1">LEFT($C$3, 2) &amp; (MID($C$3, 3, LEN($C$3)) + J14)</f>
        <v>DM11100</v>
      </c>
      <c r="B14" s="151" t="s">
        <v>59</v>
      </c>
      <c r="C14" s="151" t="s">
        <v>81</v>
      </c>
      <c r="D14" s="149" t="s">
        <v>25</v>
      </c>
      <c r="E14" s="150"/>
      <c r="F14" s="149" t="s">
        <v>65</v>
      </c>
      <c r="G14" s="150"/>
      <c r="H14" s="154" t="s">
        <v>60</v>
      </c>
      <c r="I14" s="157" t="s">
        <v>82</v>
      </c>
      <c r="J14" s="6">
        <v>100</v>
      </c>
    </row>
    <row r="15" spans="1:10">
      <c r="A15" s="32" t="str">
        <f t="shared" si="1"/>
        <v>DM11101</v>
      </c>
      <c r="B15" s="152"/>
      <c r="C15" s="152"/>
      <c r="D15" s="149" t="s">
        <v>26</v>
      </c>
      <c r="E15" s="150"/>
      <c r="F15" s="149" t="s">
        <v>27</v>
      </c>
      <c r="G15" s="150"/>
      <c r="H15" s="155"/>
      <c r="I15" s="158"/>
      <c r="J15" s="6">
        <v>101</v>
      </c>
    </row>
    <row r="16" spans="1:10">
      <c r="A16" s="32" t="str">
        <f t="shared" si="1"/>
        <v>DM11102</v>
      </c>
      <c r="B16" s="153"/>
      <c r="C16" s="152"/>
      <c r="D16" s="149" t="s">
        <v>28</v>
      </c>
      <c r="E16" s="150"/>
      <c r="F16" s="149" t="s">
        <v>29</v>
      </c>
      <c r="G16" s="150"/>
      <c r="H16" s="155"/>
      <c r="I16" s="158"/>
      <c r="J16" s="6">
        <v>102</v>
      </c>
    </row>
    <row r="17" spans="1:10" ht="15.75" customHeight="1">
      <c r="A17" s="32" t="str">
        <f t="shared" si="1"/>
        <v>DM11103</v>
      </c>
      <c r="B17" s="151" t="s">
        <v>61</v>
      </c>
      <c r="C17" s="151" t="s">
        <v>81</v>
      </c>
      <c r="D17" s="160" t="s">
        <v>67</v>
      </c>
      <c r="E17" s="161"/>
      <c r="F17" s="162" t="s">
        <v>66</v>
      </c>
      <c r="G17" s="163"/>
      <c r="H17" s="154" t="s">
        <v>62</v>
      </c>
      <c r="I17" s="157" t="s">
        <v>63</v>
      </c>
      <c r="J17" s="6">
        <v>103</v>
      </c>
    </row>
    <row r="18" spans="1:10" ht="15.75" customHeight="1">
      <c r="A18" s="32" t="str">
        <f t="shared" si="1"/>
        <v>DM11104</v>
      </c>
      <c r="B18" s="152"/>
      <c r="C18" s="152"/>
      <c r="D18" s="160" t="s">
        <v>69</v>
      </c>
      <c r="E18" s="161"/>
      <c r="F18" s="162" t="s">
        <v>68</v>
      </c>
      <c r="G18" s="163"/>
      <c r="H18" s="155"/>
      <c r="I18" s="158"/>
      <c r="J18" s="6">
        <v>104</v>
      </c>
    </row>
    <row r="19" spans="1:10" ht="15.75" customHeight="1">
      <c r="A19" s="32" t="str">
        <f t="shared" si="1"/>
        <v>DM11105</v>
      </c>
      <c r="B19" s="152"/>
      <c r="C19" s="152"/>
      <c r="D19" s="160" t="s">
        <v>71</v>
      </c>
      <c r="E19" s="161"/>
      <c r="F19" s="162" t="s">
        <v>70</v>
      </c>
      <c r="G19" s="163"/>
      <c r="H19" s="155"/>
      <c r="I19" s="158"/>
      <c r="J19" s="6">
        <v>105</v>
      </c>
    </row>
    <row r="20" spans="1:10" ht="15.75" customHeight="1">
      <c r="A20" s="32" t="str">
        <f t="shared" si="1"/>
        <v>DM11106</v>
      </c>
      <c r="B20" s="152"/>
      <c r="C20" s="152"/>
      <c r="D20" s="160" t="s">
        <v>73</v>
      </c>
      <c r="E20" s="161"/>
      <c r="F20" s="162" t="s">
        <v>72</v>
      </c>
      <c r="G20" s="163"/>
      <c r="H20" s="155"/>
      <c r="I20" s="158"/>
      <c r="J20" s="6">
        <v>106</v>
      </c>
    </row>
    <row r="21" spans="1:10" ht="15.75" customHeight="1">
      <c r="A21" s="32" t="str">
        <f t="shared" si="1"/>
        <v>DM11107</v>
      </c>
      <c r="B21" s="152"/>
      <c r="C21" s="152"/>
      <c r="D21" s="160" t="s">
        <v>77</v>
      </c>
      <c r="E21" s="161"/>
      <c r="F21" s="162" t="s">
        <v>74</v>
      </c>
      <c r="G21" s="163"/>
      <c r="H21" s="155"/>
      <c r="I21" s="158"/>
      <c r="J21" s="6">
        <v>107</v>
      </c>
    </row>
    <row r="22" spans="1:10" ht="15.75" customHeight="1">
      <c r="A22" s="32" t="str">
        <f t="shared" si="1"/>
        <v>DM11108</v>
      </c>
      <c r="B22" s="152"/>
      <c r="C22" s="152"/>
      <c r="D22" s="160" t="s">
        <v>78</v>
      </c>
      <c r="E22" s="161"/>
      <c r="F22" s="162" t="s">
        <v>75</v>
      </c>
      <c r="G22" s="163"/>
      <c r="H22" s="155"/>
      <c r="I22" s="158"/>
      <c r="J22" s="6">
        <v>108</v>
      </c>
    </row>
    <row r="23" spans="1:10" ht="15.75" customHeight="1">
      <c r="A23" s="32" t="str">
        <f t="shared" si="1"/>
        <v>DM11109</v>
      </c>
      <c r="B23" s="153"/>
      <c r="C23" s="153"/>
      <c r="D23" s="160" t="s">
        <v>79</v>
      </c>
      <c r="E23" s="161"/>
      <c r="F23" s="162" t="s">
        <v>76</v>
      </c>
      <c r="G23" s="163"/>
      <c r="H23" s="156"/>
      <c r="I23" s="159"/>
      <c r="J23" s="6">
        <v>109</v>
      </c>
    </row>
    <row r="24" spans="1:10" ht="15.75" customHeight="1">
      <c r="A24" s="32" t="str">
        <f t="shared" si="1"/>
        <v>DM11110</v>
      </c>
      <c r="B24" s="151" t="s">
        <v>80</v>
      </c>
      <c r="C24" s="151" t="s">
        <v>81</v>
      </c>
      <c r="D24" s="149" t="s">
        <v>25</v>
      </c>
      <c r="E24" s="150"/>
      <c r="F24" s="149" t="s">
        <v>65</v>
      </c>
      <c r="G24" s="150"/>
      <c r="H24" s="154" t="s">
        <v>83</v>
      </c>
      <c r="I24" s="157" t="s">
        <v>82</v>
      </c>
      <c r="J24" s="6">
        <v>110</v>
      </c>
    </row>
    <row r="25" spans="1:10" ht="15.75" customHeight="1">
      <c r="A25" s="32" t="str">
        <f t="shared" si="1"/>
        <v>DM11111</v>
      </c>
      <c r="B25" s="152"/>
      <c r="C25" s="152"/>
      <c r="D25" s="149" t="s">
        <v>26</v>
      </c>
      <c r="E25" s="150"/>
      <c r="F25" s="149" t="s">
        <v>27</v>
      </c>
      <c r="G25" s="150"/>
      <c r="H25" s="155"/>
      <c r="I25" s="158"/>
      <c r="J25" s="6">
        <v>111</v>
      </c>
    </row>
    <row r="26" spans="1:10" ht="15.75" customHeight="1">
      <c r="A26" s="32" t="str">
        <f t="shared" si="1"/>
        <v>DM11112</v>
      </c>
      <c r="B26" s="153"/>
      <c r="C26" s="153"/>
      <c r="D26" s="149" t="s">
        <v>28</v>
      </c>
      <c r="E26" s="150"/>
      <c r="F26" s="149" t="s">
        <v>29</v>
      </c>
      <c r="G26" s="150"/>
      <c r="H26" s="156"/>
      <c r="I26" s="159"/>
      <c r="J26" s="6">
        <v>112</v>
      </c>
    </row>
    <row r="27" spans="1:10" ht="15.75" customHeight="1">
      <c r="A27" s="32" t="str">
        <f t="shared" si="1"/>
        <v>DM11113</v>
      </c>
      <c r="B27" s="151" t="s">
        <v>84</v>
      </c>
      <c r="C27" s="151" t="s">
        <v>81</v>
      </c>
      <c r="D27" s="149" t="s">
        <v>25</v>
      </c>
      <c r="E27" s="150"/>
      <c r="F27" s="149" t="s">
        <v>65</v>
      </c>
      <c r="G27" s="150"/>
      <c r="H27" s="154" t="s">
        <v>84</v>
      </c>
      <c r="I27" s="157" t="s">
        <v>85</v>
      </c>
      <c r="J27" s="6">
        <v>113</v>
      </c>
    </row>
    <row r="28" spans="1:10" ht="15.75" customHeight="1">
      <c r="A28" s="32" t="str">
        <f t="shared" si="1"/>
        <v>DM11114</v>
      </c>
      <c r="B28" s="152"/>
      <c r="C28" s="152"/>
      <c r="D28" s="149" t="s">
        <v>26</v>
      </c>
      <c r="E28" s="150"/>
      <c r="F28" s="149" t="s">
        <v>27</v>
      </c>
      <c r="G28" s="150"/>
      <c r="H28" s="155"/>
      <c r="I28" s="158"/>
      <c r="J28" s="6">
        <v>114</v>
      </c>
    </row>
    <row r="29" spans="1:10" ht="15.75" customHeight="1">
      <c r="A29" s="32" t="str">
        <f t="shared" si="1"/>
        <v>DM11115</v>
      </c>
      <c r="B29" s="152"/>
      <c r="C29" s="152"/>
      <c r="D29" s="149" t="s">
        <v>28</v>
      </c>
      <c r="E29" s="150"/>
      <c r="F29" s="149" t="s">
        <v>29</v>
      </c>
      <c r="G29" s="150"/>
      <c r="H29" s="155"/>
      <c r="I29" s="158"/>
      <c r="J29" s="6">
        <v>115</v>
      </c>
    </row>
    <row r="30" spans="1:10" ht="15.75" customHeight="1">
      <c r="A30" s="32" t="str">
        <f t="shared" si="1"/>
        <v>DM11116</v>
      </c>
      <c r="B30" s="152"/>
      <c r="C30" s="152"/>
      <c r="D30" s="149" t="s">
        <v>30</v>
      </c>
      <c r="E30" s="150"/>
      <c r="F30" s="149" t="s">
        <v>31</v>
      </c>
      <c r="G30" s="150"/>
      <c r="H30" s="155"/>
      <c r="I30" s="158"/>
      <c r="J30" s="6">
        <v>116</v>
      </c>
    </row>
    <row r="31" spans="1:10" ht="15.75" customHeight="1">
      <c r="A31" s="32" t="str">
        <f t="shared" si="1"/>
        <v>DM11117</v>
      </c>
      <c r="B31" s="152"/>
      <c r="C31" s="152"/>
      <c r="D31" s="149" t="s">
        <v>11</v>
      </c>
      <c r="E31" s="150"/>
      <c r="F31" s="149" t="s">
        <v>12</v>
      </c>
      <c r="G31" s="150"/>
      <c r="H31" s="155"/>
      <c r="I31" s="158"/>
      <c r="J31" s="6">
        <v>117</v>
      </c>
    </row>
    <row r="32" spans="1:10" ht="15.75" customHeight="1">
      <c r="A32" s="32" t="str">
        <f t="shared" si="1"/>
        <v>DM11118</v>
      </c>
      <c r="B32" s="152"/>
      <c r="C32" s="152"/>
      <c r="D32" s="149" t="s">
        <v>13</v>
      </c>
      <c r="E32" s="150"/>
      <c r="F32" s="149" t="s">
        <v>14</v>
      </c>
      <c r="G32" s="150"/>
      <c r="H32" s="155"/>
      <c r="I32" s="158"/>
      <c r="J32" s="6">
        <v>118</v>
      </c>
    </row>
    <row r="33" spans="1:10" ht="15.75" customHeight="1">
      <c r="A33" s="32" t="str">
        <f t="shared" si="1"/>
        <v>DM11119</v>
      </c>
      <c r="B33" s="152"/>
      <c r="C33" s="152"/>
      <c r="D33" s="149" t="s">
        <v>16</v>
      </c>
      <c r="E33" s="150"/>
      <c r="F33" s="149" t="s">
        <v>17</v>
      </c>
      <c r="G33" s="150"/>
      <c r="H33" s="155"/>
      <c r="I33" s="158"/>
      <c r="J33" s="6">
        <v>119</v>
      </c>
    </row>
    <row r="34" spans="1:10" ht="15.75" customHeight="1">
      <c r="A34" s="32" t="str">
        <f t="shared" si="1"/>
        <v>DM11120</v>
      </c>
      <c r="B34" s="152"/>
      <c r="C34" s="152"/>
      <c r="D34" s="149" t="s">
        <v>18</v>
      </c>
      <c r="E34" s="150"/>
      <c r="F34" s="149" t="s">
        <v>19</v>
      </c>
      <c r="G34" s="150"/>
      <c r="H34" s="155"/>
      <c r="I34" s="158"/>
      <c r="J34" s="6">
        <v>120</v>
      </c>
    </row>
    <row r="35" spans="1:10" ht="15.75" customHeight="1">
      <c r="A35" s="32" t="str">
        <f t="shared" si="1"/>
        <v>DM11121</v>
      </c>
      <c r="B35" s="152"/>
      <c r="C35" s="152"/>
      <c r="D35" s="149" t="s">
        <v>20</v>
      </c>
      <c r="E35" s="150"/>
      <c r="F35" s="149" t="s">
        <v>21</v>
      </c>
      <c r="G35" s="150"/>
      <c r="H35" s="155"/>
      <c r="I35" s="158"/>
      <c r="J35" s="6">
        <v>121</v>
      </c>
    </row>
    <row r="36" spans="1:10" ht="15.75" customHeight="1">
      <c r="A36" s="32" t="str">
        <f t="shared" si="1"/>
        <v>DM11122</v>
      </c>
      <c r="B36" s="152"/>
      <c r="C36" s="152"/>
      <c r="D36" s="149" t="s">
        <v>22</v>
      </c>
      <c r="E36" s="150"/>
      <c r="F36" s="149" t="s">
        <v>23</v>
      </c>
      <c r="G36" s="150"/>
      <c r="H36" s="155"/>
      <c r="I36" s="158"/>
      <c r="J36" s="6">
        <v>122</v>
      </c>
    </row>
    <row r="37" spans="1:10" ht="15.75" customHeight="1">
      <c r="A37" s="32" t="str">
        <f t="shared" si="1"/>
        <v>DM11123</v>
      </c>
      <c r="B37" s="152"/>
      <c r="C37" s="152"/>
      <c r="D37" s="149" t="s">
        <v>86</v>
      </c>
      <c r="E37" s="150"/>
      <c r="F37" s="149" t="s">
        <v>100</v>
      </c>
      <c r="G37" s="150"/>
      <c r="H37" s="155"/>
      <c r="I37" s="158"/>
      <c r="J37" s="6">
        <v>123</v>
      </c>
    </row>
    <row r="38" spans="1:10" ht="15.75" customHeight="1">
      <c r="A38" s="32" t="str">
        <f t="shared" si="1"/>
        <v>DM11124</v>
      </c>
      <c r="B38" s="152"/>
      <c r="C38" s="152"/>
      <c r="D38" s="149" t="s">
        <v>87</v>
      </c>
      <c r="E38" s="150"/>
      <c r="F38" s="149" t="s">
        <v>101</v>
      </c>
      <c r="G38" s="150"/>
      <c r="H38" s="155"/>
      <c r="I38" s="158"/>
      <c r="J38" s="6">
        <v>124</v>
      </c>
    </row>
    <row r="39" spans="1:10" ht="15.75" customHeight="1">
      <c r="A39" s="32" t="str">
        <f t="shared" si="1"/>
        <v>DM11125</v>
      </c>
      <c r="B39" s="152"/>
      <c r="C39" s="152"/>
      <c r="D39" s="149" t="s">
        <v>88</v>
      </c>
      <c r="E39" s="150"/>
      <c r="F39" s="149" t="s">
        <v>102</v>
      </c>
      <c r="G39" s="150"/>
      <c r="H39" s="155"/>
      <c r="I39" s="158"/>
      <c r="J39" s="6">
        <v>125</v>
      </c>
    </row>
    <row r="40" spans="1:10" ht="15.75" customHeight="1">
      <c r="A40" s="32" t="str">
        <f t="shared" si="1"/>
        <v>DM11126</v>
      </c>
      <c r="B40" s="152"/>
      <c r="C40" s="152"/>
      <c r="D40" s="149" t="s">
        <v>89</v>
      </c>
      <c r="E40" s="150"/>
      <c r="F40" s="149" t="s">
        <v>103</v>
      </c>
      <c r="G40" s="150"/>
      <c r="H40" s="155"/>
      <c r="I40" s="158"/>
      <c r="J40" s="6">
        <v>126</v>
      </c>
    </row>
    <row r="41" spans="1:10" ht="15.75" customHeight="1">
      <c r="A41" s="32" t="str">
        <f t="shared" si="1"/>
        <v>DM11127</v>
      </c>
      <c r="B41" s="152"/>
      <c r="C41" s="152"/>
      <c r="D41" s="149" t="s">
        <v>90</v>
      </c>
      <c r="E41" s="150"/>
      <c r="F41" s="149" t="s">
        <v>104</v>
      </c>
      <c r="G41" s="150"/>
      <c r="H41" s="155"/>
      <c r="I41" s="158"/>
      <c r="J41" s="6">
        <v>127</v>
      </c>
    </row>
    <row r="42" spans="1:10" ht="15.75" customHeight="1">
      <c r="A42" s="32" t="str">
        <f t="shared" si="1"/>
        <v>DM11128</v>
      </c>
      <c r="B42" s="152"/>
      <c r="C42" s="152"/>
      <c r="D42" s="149" t="s">
        <v>91</v>
      </c>
      <c r="E42" s="150"/>
      <c r="F42" s="149" t="s">
        <v>105</v>
      </c>
      <c r="G42" s="150"/>
      <c r="H42" s="155"/>
      <c r="I42" s="158"/>
      <c r="J42" s="6">
        <v>128</v>
      </c>
    </row>
    <row r="43" spans="1:10" ht="15.75" customHeight="1">
      <c r="A43" s="32" t="str">
        <f t="shared" si="1"/>
        <v>DM11129</v>
      </c>
      <c r="B43" s="152"/>
      <c r="C43" s="152"/>
      <c r="D43" s="149" t="s">
        <v>92</v>
      </c>
      <c r="E43" s="150"/>
      <c r="F43" s="149" t="s">
        <v>106</v>
      </c>
      <c r="G43" s="150"/>
      <c r="H43" s="155"/>
      <c r="I43" s="158"/>
      <c r="J43" s="6">
        <v>129</v>
      </c>
    </row>
    <row r="44" spans="1:10" ht="15.75" customHeight="1">
      <c r="A44" s="32" t="str">
        <f t="shared" si="1"/>
        <v>DM11130</v>
      </c>
      <c r="B44" s="152"/>
      <c r="C44" s="152"/>
      <c r="D44" s="149" t="s">
        <v>93</v>
      </c>
      <c r="E44" s="150"/>
      <c r="F44" s="149" t="s">
        <v>107</v>
      </c>
      <c r="G44" s="150"/>
      <c r="H44" s="155"/>
      <c r="I44" s="158"/>
      <c r="J44" s="6">
        <v>130</v>
      </c>
    </row>
    <row r="45" spans="1:10" ht="15.75" customHeight="1">
      <c r="A45" s="32" t="str">
        <f t="shared" si="1"/>
        <v>DM11131</v>
      </c>
      <c r="B45" s="152"/>
      <c r="C45" s="152"/>
      <c r="D45" s="149" t="s">
        <v>94</v>
      </c>
      <c r="E45" s="150"/>
      <c r="F45" s="149" t="s">
        <v>108</v>
      </c>
      <c r="G45" s="150"/>
      <c r="H45" s="155"/>
      <c r="I45" s="158"/>
      <c r="J45" s="6">
        <v>131</v>
      </c>
    </row>
    <row r="46" spans="1:10" ht="15.75" customHeight="1">
      <c r="A46" s="32" t="str">
        <f t="shared" ref="A46:A63" si="2">LEFT($C$3, 2) &amp; (MID($C$3, 3, LEN($C$3)) + J46)</f>
        <v>DM11132</v>
      </c>
      <c r="B46" s="152"/>
      <c r="C46" s="152"/>
      <c r="D46" s="149" t="s">
        <v>95</v>
      </c>
      <c r="E46" s="150"/>
      <c r="F46" s="149" t="s">
        <v>109</v>
      </c>
      <c r="G46" s="150"/>
      <c r="H46" s="155"/>
      <c r="I46" s="158"/>
      <c r="J46" s="6">
        <v>132</v>
      </c>
    </row>
    <row r="47" spans="1:10" ht="15.75" customHeight="1">
      <c r="A47" s="32" t="str">
        <f t="shared" si="2"/>
        <v>DM11133</v>
      </c>
      <c r="B47" s="152"/>
      <c r="C47" s="152"/>
      <c r="D47" s="149" t="s">
        <v>96</v>
      </c>
      <c r="E47" s="150"/>
      <c r="F47" s="149" t="s">
        <v>110</v>
      </c>
      <c r="G47" s="150"/>
      <c r="H47" s="155"/>
      <c r="I47" s="158"/>
      <c r="J47" s="6">
        <v>133</v>
      </c>
    </row>
    <row r="48" spans="1:10" ht="15.75" customHeight="1">
      <c r="A48" s="32" t="str">
        <f t="shared" si="2"/>
        <v>DM11134</v>
      </c>
      <c r="B48" s="152"/>
      <c r="C48" s="152"/>
      <c r="D48" s="149" t="s">
        <v>97</v>
      </c>
      <c r="E48" s="150"/>
      <c r="F48" s="149" t="s">
        <v>111</v>
      </c>
      <c r="G48" s="150"/>
      <c r="H48" s="155"/>
      <c r="I48" s="158"/>
      <c r="J48" s="6">
        <v>134</v>
      </c>
    </row>
    <row r="49" spans="1:10" ht="15.75" customHeight="1">
      <c r="A49" s="32" t="str">
        <f t="shared" si="2"/>
        <v>DM11135</v>
      </c>
      <c r="B49" s="152"/>
      <c r="C49" s="152"/>
      <c r="D49" s="149" t="s">
        <v>98</v>
      </c>
      <c r="E49" s="150"/>
      <c r="F49" s="149" t="s">
        <v>112</v>
      </c>
      <c r="G49" s="150"/>
      <c r="H49" s="155"/>
      <c r="I49" s="158"/>
      <c r="J49" s="6">
        <v>135</v>
      </c>
    </row>
    <row r="50" spans="1:10" ht="15.75" customHeight="1">
      <c r="A50" s="32" t="str">
        <f t="shared" si="2"/>
        <v>DM11136</v>
      </c>
      <c r="B50" s="153"/>
      <c r="C50" s="153"/>
      <c r="D50" s="149" t="s">
        <v>99</v>
      </c>
      <c r="E50" s="150"/>
      <c r="F50" s="149" t="s">
        <v>113</v>
      </c>
      <c r="G50" s="150"/>
      <c r="H50" s="156"/>
      <c r="I50" s="159"/>
      <c r="J50" s="6">
        <v>136</v>
      </c>
    </row>
    <row r="51" spans="1:10" ht="15.75" customHeight="1">
      <c r="A51" s="32" t="str">
        <f t="shared" si="2"/>
        <v>DM11137</v>
      </c>
      <c r="B51" s="41" t="s">
        <v>0</v>
      </c>
      <c r="C51" s="73"/>
      <c r="D51" s="55"/>
      <c r="E51" s="56"/>
      <c r="F51" s="56"/>
      <c r="G51" s="56"/>
      <c r="H51" s="70"/>
      <c r="I51" s="71"/>
      <c r="J51" s="6">
        <v>137</v>
      </c>
    </row>
    <row r="52" spans="1:10" ht="15.75" customHeight="1">
      <c r="A52" s="32" t="str">
        <f t="shared" si="2"/>
        <v>DM11138</v>
      </c>
      <c r="B52" s="41" t="s">
        <v>0</v>
      </c>
      <c r="C52" s="73"/>
      <c r="D52" s="55"/>
      <c r="E52" s="56"/>
      <c r="F52" s="56"/>
      <c r="G52" s="56"/>
      <c r="H52" s="70"/>
      <c r="I52" s="71"/>
      <c r="J52" s="6">
        <v>138</v>
      </c>
    </row>
    <row r="53" spans="1:10" ht="15.75" customHeight="1">
      <c r="A53" s="32" t="str">
        <f t="shared" si="2"/>
        <v>DM11139</v>
      </c>
      <c r="B53" s="41" t="s">
        <v>0</v>
      </c>
      <c r="C53" s="73"/>
      <c r="D53" s="55"/>
      <c r="E53" s="56"/>
      <c r="F53" s="56"/>
      <c r="G53" s="56"/>
      <c r="H53" s="70"/>
      <c r="I53" s="71"/>
      <c r="J53" s="6">
        <v>139</v>
      </c>
    </row>
    <row r="54" spans="1:10" ht="15.75" customHeight="1">
      <c r="A54" s="32" t="str">
        <f t="shared" si="2"/>
        <v>DM11140</v>
      </c>
      <c r="B54" s="41" t="s">
        <v>0</v>
      </c>
      <c r="C54" s="73"/>
      <c r="D54" s="55"/>
      <c r="E54" s="56"/>
      <c r="F54" s="56"/>
      <c r="G54" s="56"/>
      <c r="H54" s="70"/>
      <c r="I54" s="71"/>
      <c r="J54" s="6">
        <v>140</v>
      </c>
    </row>
    <row r="55" spans="1:10" ht="15.75" customHeight="1">
      <c r="A55" s="32" t="str">
        <f t="shared" si="2"/>
        <v>DM11141</v>
      </c>
      <c r="B55" s="41" t="s">
        <v>0</v>
      </c>
      <c r="C55" s="73"/>
      <c r="D55" s="55"/>
      <c r="E55" s="56"/>
      <c r="F55" s="56"/>
      <c r="G55" s="56"/>
      <c r="H55" s="70"/>
      <c r="I55" s="71"/>
      <c r="J55" s="6">
        <v>141</v>
      </c>
    </row>
    <row r="56" spans="1:10" ht="15.75" customHeight="1">
      <c r="A56" s="32" t="str">
        <f t="shared" si="2"/>
        <v>DM11142</v>
      </c>
      <c r="B56" s="41" t="s">
        <v>0</v>
      </c>
      <c r="C56" s="73"/>
      <c r="D56" s="55"/>
      <c r="E56" s="56"/>
      <c r="F56" s="56"/>
      <c r="G56" s="56"/>
      <c r="H56" s="70"/>
      <c r="I56" s="71"/>
      <c r="J56" s="6">
        <v>142</v>
      </c>
    </row>
    <row r="57" spans="1:10" ht="15.75" customHeight="1">
      <c r="A57" s="32" t="str">
        <f t="shared" si="2"/>
        <v>DM11143</v>
      </c>
      <c r="B57" s="69" t="s">
        <v>114</v>
      </c>
      <c r="C57" s="73" t="s">
        <v>116</v>
      </c>
      <c r="D57" s="60">
        <v>0</v>
      </c>
      <c r="E57" s="61">
        <v>0</v>
      </c>
      <c r="F57" s="61">
        <v>0</v>
      </c>
      <c r="G57" s="45" t="s">
        <v>253</v>
      </c>
      <c r="H57" s="70" t="s">
        <v>159</v>
      </c>
      <c r="I57" s="71" t="s">
        <v>156</v>
      </c>
      <c r="J57" s="6">
        <v>143</v>
      </c>
    </row>
    <row r="58" spans="1:10" ht="15.75" customHeight="1">
      <c r="A58" s="32" t="str">
        <f t="shared" si="2"/>
        <v>DM11144</v>
      </c>
      <c r="B58" s="91" t="s">
        <v>191</v>
      </c>
      <c r="C58" s="99" t="s">
        <v>116</v>
      </c>
      <c r="D58" s="61">
        <v>0</v>
      </c>
      <c r="E58" s="61">
        <v>0</v>
      </c>
      <c r="F58" s="96" t="s">
        <v>195</v>
      </c>
      <c r="G58" s="96" t="s">
        <v>195</v>
      </c>
      <c r="H58" s="97" t="s">
        <v>196</v>
      </c>
      <c r="I58" s="98" t="s">
        <v>197</v>
      </c>
      <c r="J58" s="6">
        <v>144</v>
      </c>
    </row>
    <row r="59" spans="1:10" ht="15.75" customHeight="1">
      <c r="A59" s="32" t="str">
        <f t="shared" si="2"/>
        <v>DM11145</v>
      </c>
      <c r="B59" s="41" t="s">
        <v>0</v>
      </c>
      <c r="C59" s="73"/>
      <c r="D59" s="92"/>
      <c r="E59" s="56"/>
      <c r="F59" s="56"/>
      <c r="G59" s="56"/>
      <c r="H59" s="97"/>
      <c r="I59" s="98"/>
      <c r="J59" s="6">
        <v>145</v>
      </c>
    </row>
    <row r="60" spans="1:10" ht="15.75" customHeight="1">
      <c r="A60" s="32" t="str">
        <f t="shared" si="2"/>
        <v>DM11146</v>
      </c>
      <c r="B60" s="41" t="s">
        <v>0</v>
      </c>
      <c r="C60" s="73"/>
      <c r="D60" s="92"/>
      <c r="E60" s="56"/>
      <c r="F60" s="56"/>
      <c r="G60" s="56"/>
      <c r="H60" s="97"/>
      <c r="I60" s="98"/>
      <c r="J60" s="6">
        <v>146</v>
      </c>
    </row>
    <row r="61" spans="1:10" ht="15.75" customHeight="1">
      <c r="A61" s="32" t="str">
        <f t="shared" si="2"/>
        <v>DM11147</v>
      </c>
      <c r="B61" s="41" t="s">
        <v>0</v>
      </c>
      <c r="C61" s="73"/>
      <c r="D61" s="92"/>
      <c r="E61" s="56"/>
      <c r="F61" s="56"/>
      <c r="G61" s="56"/>
      <c r="H61" s="97"/>
      <c r="I61" s="98"/>
      <c r="J61" s="6">
        <v>147</v>
      </c>
    </row>
    <row r="62" spans="1:10" ht="15.75" customHeight="1">
      <c r="A62" s="32" t="str">
        <f t="shared" si="2"/>
        <v>DM11148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2"/>
        <v>DM11149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34" t="s">
        <v>117</v>
      </c>
      <c r="B64" s="135"/>
      <c r="C64" s="135"/>
      <c r="D64" s="135"/>
      <c r="E64" s="135"/>
      <c r="F64" s="135"/>
      <c r="G64" s="135"/>
      <c r="H64" s="135"/>
      <c r="I64" s="136"/>
    </row>
    <row r="65" spans="1:10" ht="15" customHeight="1">
      <c r="A65" s="32" t="str">
        <f t="shared" ref="A65:A118" si="3">LEFT($C$3, 2) &amp; (MID($C$3, 3, LEN($C$3)) + J65)</f>
        <v>DM11150</v>
      </c>
      <c r="B65" s="151" t="s">
        <v>59</v>
      </c>
      <c r="C65" s="151" t="s">
        <v>58</v>
      </c>
      <c r="D65" s="149" t="s">
        <v>25</v>
      </c>
      <c r="E65" s="150"/>
      <c r="F65" s="149" t="s">
        <v>65</v>
      </c>
      <c r="G65" s="150"/>
      <c r="H65" s="154" t="s">
        <v>60</v>
      </c>
      <c r="I65" s="157" t="s">
        <v>82</v>
      </c>
      <c r="J65" s="6">
        <v>150</v>
      </c>
    </row>
    <row r="66" spans="1:10" ht="15" customHeight="1">
      <c r="A66" s="32" t="str">
        <f t="shared" si="3"/>
        <v>DM11151</v>
      </c>
      <c r="B66" s="152"/>
      <c r="C66" s="152"/>
      <c r="D66" s="149" t="s">
        <v>26</v>
      </c>
      <c r="E66" s="150"/>
      <c r="F66" s="149" t="s">
        <v>27</v>
      </c>
      <c r="G66" s="150"/>
      <c r="H66" s="155"/>
      <c r="I66" s="158"/>
      <c r="J66" s="6">
        <v>151</v>
      </c>
    </row>
    <row r="67" spans="1:10" ht="15" customHeight="1">
      <c r="A67" s="32" t="str">
        <f t="shared" si="3"/>
        <v>DM11152</v>
      </c>
      <c r="B67" s="153"/>
      <c r="C67" s="152"/>
      <c r="D67" s="149" t="s">
        <v>28</v>
      </c>
      <c r="E67" s="150"/>
      <c r="F67" s="149" t="s">
        <v>29</v>
      </c>
      <c r="G67" s="150"/>
      <c r="H67" s="155"/>
      <c r="I67" s="158"/>
      <c r="J67" s="6">
        <v>152</v>
      </c>
    </row>
    <row r="68" spans="1:10">
      <c r="A68" s="32" t="str">
        <f t="shared" si="3"/>
        <v>DM11153</v>
      </c>
      <c r="B68" s="151" t="s">
        <v>61</v>
      </c>
      <c r="C68" s="151" t="s">
        <v>81</v>
      </c>
      <c r="D68" s="160" t="s">
        <v>67</v>
      </c>
      <c r="E68" s="161"/>
      <c r="F68" s="162" t="s">
        <v>66</v>
      </c>
      <c r="G68" s="163"/>
      <c r="H68" s="154" t="s">
        <v>62</v>
      </c>
      <c r="I68" s="157" t="s">
        <v>63</v>
      </c>
      <c r="J68" s="6">
        <v>153</v>
      </c>
    </row>
    <row r="69" spans="1:10">
      <c r="A69" s="32" t="str">
        <f t="shared" si="3"/>
        <v>DM11154</v>
      </c>
      <c r="B69" s="152"/>
      <c r="C69" s="152"/>
      <c r="D69" s="160" t="s">
        <v>69</v>
      </c>
      <c r="E69" s="161"/>
      <c r="F69" s="162" t="s">
        <v>68</v>
      </c>
      <c r="G69" s="163"/>
      <c r="H69" s="155"/>
      <c r="I69" s="158"/>
      <c r="J69" s="6">
        <v>154</v>
      </c>
    </row>
    <row r="70" spans="1:10">
      <c r="A70" s="32" t="str">
        <f t="shared" si="3"/>
        <v>DM11155</v>
      </c>
      <c r="B70" s="152"/>
      <c r="C70" s="152"/>
      <c r="D70" s="160" t="s">
        <v>71</v>
      </c>
      <c r="E70" s="161"/>
      <c r="F70" s="162" t="s">
        <v>70</v>
      </c>
      <c r="G70" s="163"/>
      <c r="H70" s="155"/>
      <c r="I70" s="158"/>
      <c r="J70" s="6">
        <v>155</v>
      </c>
    </row>
    <row r="71" spans="1:10">
      <c r="A71" s="32" t="str">
        <f t="shared" si="3"/>
        <v>DM11156</v>
      </c>
      <c r="B71" s="152"/>
      <c r="C71" s="152"/>
      <c r="D71" s="160" t="s">
        <v>73</v>
      </c>
      <c r="E71" s="161"/>
      <c r="F71" s="162" t="s">
        <v>72</v>
      </c>
      <c r="G71" s="163"/>
      <c r="H71" s="155"/>
      <c r="I71" s="158"/>
      <c r="J71" s="6">
        <v>156</v>
      </c>
    </row>
    <row r="72" spans="1:10">
      <c r="A72" s="32" t="str">
        <f t="shared" si="3"/>
        <v>DM11157</v>
      </c>
      <c r="B72" s="152"/>
      <c r="C72" s="152"/>
      <c r="D72" s="160" t="s">
        <v>77</v>
      </c>
      <c r="E72" s="161"/>
      <c r="F72" s="162" t="s">
        <v>74</v>
      </c>
      <c r="G72" s="163"/>
      <c r="H72" s="155"/>
      <c r="I72" s="158"/>
      <c r="J72" s="6">
        <v>157</v>
      </c>
    </row>
    <row r="73" spans="1:10">
      <c r="A73" s="32" t="str">
        <f t="shared" si="3"/>
        <v>DM11158</v>
      </c>
      <c r="B73" s="152"/>
      <c r="C73" s="152"/>
      <c r="D73" s="160" t="s">
        <v>78</v>
      </c>
      <c r="E73" s="161"/>
      <c r="F73" s="162" t="s">
        <v>75</v>
      </c>
      <c r="G73" s="163"/>
      <c r="H73" s="155"/>
      <c r="I73" s="158"/>
      <c r="J73" s="6">
        <v>158</v>
      </c>
    </row>
    <row r="74" spans="1:10">
      <c r="A74" s="32" t="str">
        <f t="shared" si="3"/>
        <v>DM11159</v>
      </c>
      <c r="B74" s="153"/>
      <c r="C74" s="153"/>
      <c r="D74" s="160" t="s">
        <v>79</v>
      </c>
      <c r="E74" s="161"/>
      <c r="F74" s="162" t="s">
        <v>76</v>
      </c>
      <c r="G74" s="163"/>
      <c r="H74" s="156"/>
      <c r="I74" s="159"/>
      <c r="J74" s="6">
        <v>159</v>
      </c>
    </row>
    <row r="75" spans="1:10">
      <c r="A75" s="32" t="str">
        <f t="shared" si="3"/>
        <v>DM11160</v>
      </c>
      <c r="B75" s="151" t="s">
        <v>80</v>
      </c>
      <c r="C75" s="151" t="s">
        <v>81</v>
      </c>
      <c r="D75" s="149" t="s">
        <v>25</v>
      </c>
      <c r="E75" s="150"/>
      <c r="F75" s="149" t="s">
        <v>65</v>
      </c>
      <c r="G75" s="150"/>
      <c r="H75" s="154" t="s">
        <v>83</v>
      </c>
      <c r="I75" s="157" t="s">
        <v>82</v>
      </c>
      <c r="J75" s="6">
        <v>160</v>
      </c>
    </row>
    <row r="76" spans="1:10">
      <c r="A76" s="32" t="str">
        <f t="shared" si="3"/>
        <v>DM11161</v>
      </c>
      <c r="B76" s="152"/>
      <c r="C76" s="152"/>
      <c r="D76" s="149" t="s">
        <v>26</v>
      </c>
      <c r="E76" s="150"/>
      <c r="F76" s="149" t="s">
        <v>27</v>
      </c>
      <c r="G76" s="150"/>
      <c r="H76" s="155"/>
      <c r="I76" s="158"/>
      <c r="J76" s="6">
        <v>161</v>
      </c>
    </row>
    <row r="77" spans="1:10">
      <c r="A77" s="32" t="str">
        <f t="shared" si="3"/>
        <v>DM11162</v>
      </c>
      <c r="B77" s="153"/>
      <c r="C77" s="153"/>
      <c r="D77" s="149" t="s">
        <v>28</v>
      </c>
      <c r="E77" s="150"/>
      <c r="F77" s="149" t="s">
        <v>29</v>
      </c>
      <c r="G77" s="150"/>
      <c r="H77" s="156"/>
      <c r="I77" s="159"/>
      <c r="J77" s="6">
        <v>162</v>
      </c>
    </row>
    <row r="78" spans="1:10">
      <c r="A78" s="32" t="str">
        <f t="shared" si="3"/>
        <v>DM11163</v>
      </c>
      <c r="B78" s="151" t="s">
        <v>119</v>
      </c>
      <c r="C78" s="151" t="s">
        <v>58</v>
      </c>
      <c r="D78" s="149" t="s">
        <v>25</v>
      </c>
      <c r="E78" s="150"/>
      <c r="F78" s="149" t="s">
        <v>65</v>
      </c>
      <c r="G78" s="150"/>
      <c r="H78" s="154" t="s">
        <v>120</v>
      </c>
      <c r="I78" s="157" t="s">
        <v>64</v>
      </c>
      <c r="J78" s="6">
        <v>163</v>
      </c>
    </row>
    <row r="79" spans="1:10">
      <c r="A79" s="32" t="str">
        <f t="shared" si="3"/>
        <v>DM11164</v>
      </c>
      <c r="B79" s="152"/>
      <c r="C79" s="152"/>
      <c r="D79" s="149" t="s">
        <v>26</v>
      </c>
      <c r="E79" s="150"/>
      <c r="F79" s="149" t="s">
        <v>27</v>
      </c>
      <c r="G79" s="150"/>
      <c r="H79" s="155"/>
      <c r="I79" s="158"/>
      <c r="J79" s="6">
        <v>164</v>
      </c>
    </row>
    <row r="80" spans="1:10">
      <c r="A80" s="32" t="str">
        <f t="shared" si="3"/>
        <v>DM11165</v>
      </c>
      <c r="B80" s="152"/>
      <c r="C80" s="152"/>
      <c r="D80" s="149" t="s">
        <v>28</v>
      </c>
      <c r="E80" s="150"/>
      <c r="F80" s="149" t="s">
        <v>29</v>
      </c>
      <c r="G80" s="150"/>
      <c r="H80" s="155"/>
      <c r="I80" s="158"/>
      <c r="J80" s="6">
        <v>165</v>
      </c>
    </row>
    <row r="81" spans="1:10">
      <c r="A81" s="32" t="str">
        <f t="shared" si="3"/>
        <v>DM11166</v>
      </c>
      <c r="B81" s="152"/>
      <c r="C81" s="152"/>
      <c r="D81" s="149" t="s">
        <v>30</v>
      </c>
      <c r="E81" s="150"/>
      <c r="F81" s="149" t="s">
        <v>31</v>
      </c>
      <c r="G81" s="150"/>
      <c r="H81" s="155"/>
      <c r="I81" s="158"/>
      <c r="J81" s="6">
        <v>166</v>
      </c>
    </row>
    <row r="82" spans="1:10">
      <c r="A82" s="32" t="str">
        <f t="shared" si="3"/>
        <v>DM11167</v>
      </c>
      <c r="B82" s="152"/>
      <c r="C82" s="152"/>
      <c r="D82" s="149" t="s">
        <v>11</v>
      </c>
      <c r="E82" s="150"/>
      <c r="F82" s="149" t="s">
        <v>12</v>
      </c>
      <c r="G82" s="150"/>
      <c r="H82" s="155"/>
      <c r="I82" s="158"/>
      <c r="J82" s="6">
        <v>167</v>
      </c>
    </row>
    <row r="83" spans="1:10">
      <c r="A83" s="32" t="str">
        <f t="shared" si="3"/>
        <v>DM11168</v>
      </c>
      <c r="B83" s="152"/>
      <c r="C83" s="152"/>
      <c r="D83" s="149" t="s">
        <v>13</v>
      </c>
      <c r="E83" s="150"/>
      <c r="F83" s="149" t="s">
        <v>14</v>
      </c>
      <c r="G83" s="150"/>
      <c r="H83" s="155"/>
      <c r="I83" s="158"/>
      <c r="J83" s="6">
        <v>168</v>
      </c>
    </row>
    <row r="84" spans="1:10">
      <c r="A84" s="32" t="str">
        <f t="shared" si="3"/>
        <v>DM11169</v>
      </c>
      <c r="B84" s="152"/>
      <c r="C84" s="152"/>
      <c r="D84" s="149" t="s">
        <v>16</v>
      </c>
      <c r="E84" s="150"/>
      <c r="F84" s="149" t="s">
        <v>17</v>
      </c>
      <c r="G84" s="150"/>
      <c r="H84" s="155"/>
      <c r="I84" s="158"/>
      <c r="J84" s="6">
        <v>169</v>
      </c>
    </row>
    <row r="85" spans="1:10">
      <c r="A85" s="32" t="str">
        <f t="shared" si="3"/>
        <v>DM11170</v>
      </c>
      <c r="B85" s="152"/>
      <c r="C85" s="152"/>
      <c r="D85" s="149" t="s">
        <v>18</v>
      </c>
      <c r="E85" s="150"/>
      <c r="F85" s="149" t="s">
        <v>19</v>
      </c>
      <c r="G85" s="150"/>
      <c r="H85" s="155"/>
      <c r="I85" s="158"/>
      <c r="J85" s="6">
        <v>170</v>
      </c>
    </row>
    <row r="86" spans="1:10">
      <c r="A86" s="32" t="str">
        <f t="shared" si="3"/>
        <v>DM11171</v>
      </c>
      <c r="B86" s="152"/>
      <c r="C86" s="152"/>
      <c r="D86" s="149" t="s">
        <v>20</v>
      </c>
      <c r="E86" s="150"/>
      <c r="F86" s="149" t="s">
        <v>21</v>
      </c>
      <c r="G86" s="150"/>
      <c r="H86" s="155"/>
      <c r="I86" s="158"/>
      <c r="J86" s="6">
        <v>171</v>
      </c>
    </row>
    <row r="87" spans="1:10">
      <c r="A87" s="32" t="str">
        <f t="shared" si="3"/>
        <v>DM11172</v>
      </c>
      <c r="B87" s="153"/>
      <c r="C87" s="153"/>
      <c r="D87" s="149" t="s">
        <v>22</v>
      </c>
      <c r="E87" s="150"/>
      <c r="F87" s="149" t="s">
        <v>23</v>
      </c>
      <c r="G87" s="150"/>
      <c r="H87" s="156"/>
      <c r="I87" s="159"/>
      <c r="J87" s="6">
        <v>172</v>
      </c>
    </row>
    <row r="88" spans="1:10">
      <c r="A88" s="32" t="str">
        <f t="shared" si="3"/>
        <v>DM11173</v>
      </c>
      <c r="B88" s="151" t="s">
        <v>121</v>
      </c>
      <c r="C88" s="151" t="s">
        <v>58</v>
      </c>
      <c r="D88" s="149" t="s">
        <v>25</v>
      </c>
      <c r="E88" s="150"/>
      <c r="F88" s="149" t="s">
        <v>65</v>
      </c>
      <c r="G88" s="150"/>
      <c r="H88" s="154" t="s">
        <v>1</v>
      </c>
      <c r="I88" s="157" t="s">
        <v>64</v>
      </c>
      <c r="J88" s="6">
        <v>173</v>
      </c>
    </row>
    <row r="89" spans="1:10">
      <c r="A89" s="32" t="str">
        <f t="shared" si="3"/>
        <v>DM11174</v>
      </c>
      <c r="B89" s="152"/>
      <c r="C89" s="152"/>
      <c r="D89" s="149" t="s">
        <v>26</v>
      </c>
      <c r="E89" s="150"/>
      <c r="F89" s="149" t="s">
        <v>27</v>
      </c>
      <c r="G89" s="150"/>
      <c r="H89" s="155"/>
      <c r="I89" s="158"/>
      <c r="J89" s="6">
        <v>174</v>
      </c>
    </row>
    <row r="90" spans="1:10">
      <c r="A90" s="32" t="str">
        <f t="shared" si="3"/>
        <v>DM11175</v>
      </c>
      <c r="B90" s="152"/>
      <c r="C90" s="152"/>
      <c r="D90" s="149" t="s">
        <v>28</v>
      </c>
      <c r="E90" s="150"/>
      <c r="F90" s="149" t="s">
        <v>29</v>
      </c>
      <c r="G90" s="150"/>
      <c r="H90" s="155"/>
      <c r="I90" s="158"/>
      <c r="J90" s="6">
        <v>175</v>
      </c>
    </row>
    <row r="91" spans="1:10">
      <c r="A91" s="32" t="str">
        <f t="shared" si="3"/>
        <v>DM11176</v>
      </c>
      <c r="B91" s="152"/>
      <c r="C91" s="152"/>
      <c r="D91" s="149" t="s">
        <v>30</v>
      </c>
      <c r="E91" s="150"/>
      <c r="F91" s="149" t="s">
        <v>31</v>
      </c>
      <c r="G91" s="150"/>
      <c r="H91" s="155"/>
      <c r="I91" s="158"/>
      <c r="J91" s="6">
        <v>176</v>
      </c>
    </row>
    <row r="92" spans="1:10">
      <c r="A92" s="32" t="str">
        <f t="shared" si="3"/>
        <v>DM11177</v>
      </c>
      <c r="B92" s="152"/>
      <c r="C92" s="152"/>
      <c r="D92" s="149" t="s">
        <v>11</v>
      </c>
      <c r="E92" s="150"/>
      <c r="F92" s="149" t="s">
        <v>12</v>
      </c>
      <c r="G92" s="150"/>
      <c r="H92" s="155"/>
      <c r="I92" s="158"/>
      <c r="J92" s="6">
        <v>177</v>
      </c>
    </row>
    <row r="93" spans="1:10">
      <c r="A93" s="32" t="str">
        <f t="shared" si="3"/>
        <v>DM11178</v>
      </c>
      <c r="B93" s="152"/>
      <c r="C93" s="152"/>
      <c r="D93" s="149" t="s">
        <v>13</v>
      </c>
      <c r="E93" s="150"/>
      <c r="F93" s="149" t="s">
        <v>14</v>
      </c>
      <c r="G93" s="150"/>
      <c r="H93" s="155"/>
      <c r="I93" s="158"/>
      <c r="J93" s="6">
        <v>178</v>
      </c>
    </row>
    <row r="94" spans="1:10">
      <c r="A94" s="32" t="str">
        <f t="shared" si="3"/>
        <v>DM11179</v>
      </c>
      <c r="B94" s="152"/>
      <c r="C94" s="152"/>
      <c r="D94" s="149" t="s">
        <v>16</v>
      </c>
      <c r="E94" s="150"/>
      <c r="F94" s="149" t="s">
        <v>17</v>
      </c>
      <c r="G94" s="150"/>
      <c r="H94" s="155"/>
      <c r="I94" s="158"/>
      <c r="J94" s="6">
        <v>179</v>
      </c>
    </row>
    <row r="95" spans="1:10">
      <c r="A95" s="32" t="str">
        <f t="shared" si="3"/>
        <v>DM11180</v>
      </c>
      <c r="B95" s="152"/>
      <c r="C95" s="152"/>
      <c r="D95" s="149" t="s">
        <v>18</v>
      </c>
      <c r="E95" s="150"/>
      <c r="F95" s="149" t="s">
        <v>19</v>
      </c>
      <c r="G95" s="150"/>
      <c r="H95" s="155"/>
      <c r="I95" s="158"/>
      <c r="J95" s="6">
        <v>180</v>
      </c>
    </row>
    <row r="96" spans="1:10">
      <c r="A96" s="32" t="str">
        <f t="shared" si="3"/>
        <v>DM11181</v>
      </c>
      <c r="B96" s="152"/>
      <c r="C96" s="152"/>
      <c r="D96" s="149" t="s">
        <v>20</v>
      </c>
      <c r="E96" s="150"/>
      <c r="F96" s="149" t="s">
        <v>21</v>
      </c>
      <c r="G96" s="150"/>
      <c r="H96" s="155"/>
      <c r="I96" s="158"/>
      <c r="J96" s="6">
        <v>181</v>
      </c>
    </row>
    <row r="97" spans="1:10">
      <c r="A97" s="32" t="str">
        <f t="shared" si="3"/>
        <v>DM11182</v>
      </c>
      <c r="B97" s="153"/>
      <c r="C97" s="153"/>
      <c r="D97" s="149" t="s">
        <v>22</v>
      </c>
      <c r="E97" s="150"/>
      <c r="F97" s="149" t="s">
        <v>23</v>
      </c>
      <c r="G97" s="150"/>
      <c r="H97" s="156"/>
      <c r="I97" s="159"/>
      <c r="J97" s="6">
        <v>182</v>
      </c>
    </row>
    <row r="98" spans="1:10">
      <c r="A98" s="32" t="str">
        <f t="shared" si="3"/>
        <v>DM11183</v>
      </c>
      <c r="B98" s="151" t="s">
        <v>122</v>
      </c>
      <c r="C98" s="151" t="s">
        <v>58</v>
      </c>
      <c r="D98" s="149" t="s">
        <v>25</v>
      </c>
      <c r="E98" s="150"/>
      <c r="F98" s="149" t="s">
        <v>65</v>
      </c>
      <c r="G98" s="150"/>
      <c r="H98" s="154" t="s">
        <v>123</v>
      </c>
      <c r="I98" s="157" t="s">
        <v>64</v>
      </c>
      <c r="J98" s="6">
        <v>183</v>
      </c>
    </row>
    <row r="99" spans="1:10">
      <c r="A99" s="32" t="str">
        <f t="shared" si="3"/>
        <v>DM11184</v>
      </c>
      <c r="B99" s="152"/>
      <c r="C99" s="152"/>
      <c r="D99" s="149" t="s">
        <v>26</v>
      </c>
      <c r="E99" s="150"/>
      <c r="F99" s="149" t="s">
        <v>27</v>
      </c>
      <c r="G99" s="150"/>
      <c r="H99" s="155"/>
      <c r="I99" s="158"/>
      <c r="J99" s="6">
        <v>184</v>
      </c>
    </row>
    <row r="100" spans="1:10">
      <c r="A100" s="32" t="str">
        <f t="shared" si="3"/>
        <v>DM11185</v>
      </c>
      <c r="B100" s="152"/>
      <c r="C100" s="152"/>
      <c r="D100" s="149" t="s">
        <v>28</v>
      </c>
      <c r="E100" s="150"/>
      <c r="F100" s="149" t="s">
        <v>29</v>
      </c>
      <c r="G100" s="150"/>
      <c r="H100" s="155"/>
      <c r="I100" s="158"/>
      <c r="J100" s="6">
        <v>185</v>
      </c>
    </row>
    <row r="101" spans="1:10">
      <c r="A101" s="32" t="str">
        <f t="shared" si="3"/>
        <v>DM11186</v>
      </c>
      <c r="B101" s="152"/>
      <c r="C101" s="152"/>
      <c r="D101" s="149" t="s">
        <v>30</v>
      </c>
      <c r="E101" s="150"/>
      <c r="F101" s="149" t="s">
        <v>31</v>
      </c>
      <c r="G101" s="150"/>
      <c r="H101" s="155"/>
      <c r="I101" s="158"/>
      <c r="J101" s="6">
        <v>186</v>
      </c>
    </row>
    <row r="102" spans="1:10">
      <c r="A102" s="32" t="str">
        <f t="shared" si="3"/>
        <v>DM11187</v>
      </c>
      <c r="B102" s="152"/>
      <c r="C102" s="152"/>
      <c r="D102" s="149" t="s">
        <v>11</v>
      </c>
      <c r="E102" s="150"/>
      <c r="F102" s="149" t="s">
        <v>12</v>
      </c>
      <c r="G102" s="150"/>
      <c r="H102" s="155"/>
      <c r="I102" s="158"/>
      <c r="J102" s="6">
        <v>187</v>
      </c>
    </row>
    <row r="103" spans="1:10">
      <c r="A103" s="32" t="str">
        <f t="shared" si="3"/>
        <v>DM11188</v>
      </c>
      <c r="B103" s="152"/>
      <c r="C103" s="152"/>
      <c r="D103" s="149" t="s">
        <v>13</v>
      </c>
      <c r="E103" s="150"/>
      <c r="F103" s="149" t="s">
        <v>14</v>
      </c>
      <c r="G103" s="150"/>
      <c r="H103" s="155"/>
      <c r="I103" s="158"/>
      <c r="J103" s="6">
        <v>188</v>
      </c>
    </row>
    <row r="104" spans="1:10">
      <c r="A104" s="32" t="str">
        <f t="shared" si="3"/>
        <v>DM11189</v>
      </c>
      <c r="B104" s="152"/>
      <c r="C104" s="152"/>
      <c r="D104" s="149" t="s">
        <v>16</v>
      </c>
      <c r="E104" s="150"/>
      <c r="F104" s="149" t="s">
        <v>17</v>
      </c>
      <c r="G104" s="150"/>
      <c r="H104" s="155"/>
      <c r="I104" s="158"/>
      <c r="J104" s="6">
        <v>189</v>
      </c>
    </row>
    <row r="105" spans="1:10">
      <c r="A105" s="32" t="str">
        <f t="shared" si="3"/>
        <v>DM11190</v>
      </c>
      <c r="B105" s="152"/>
      <c r="C105" s="152"/>
      <c r="D105" s="149" t="s">
        <v>18</v>
      </c>
      <c r="E105" s="150"/>
      <c r="F105" s="149" t="s">
        <v>19</v>
      </c>
      <c r="G105" s="150"/>
      <c r="H105" s="155"/>
      <c r="I105" s="158"/>
      <c r="J105" s="6">
        <v>190</v>
      </c>
    </row>
    <row r="106" spans="1:10">
      <c r="A106" s="32" t="str">
        <f t="shared" si="3"/>
        <v>DM11191</v>
      </c>
      <c r="B106" s="152"/>
      <c r="C106" s="152"/>
      <c r="D106" s="149" t="s">
        <v>20</v>
      </c>
      <c r="E106" s="150"/>
      <c r="F106" s="149" t="s">
        <v>21</v>
      </c>
      <c r="G106" s="150"/>
      <c r="H106" s="155"/>
      <c r="I106" s="158"/>
      <c r="J106" s="6">
        <v>191</v>
      </c>
    </row>
    <row r="107" spans="1:10">
      <c r="A107" s="32" t="str">
        <f t="shared" si="3"/>
        <v>DM11192</v>
      </c>
      <c r="B107" s="153"/>
      <c r="C107" s="153"/>
      <c r="D107" s="149" t="s">
        <v>22</v>
      </c>
      <c r="E107" s="150"/>
      <c r="F107" s="149" t="s">
        <v>23</v>
      </c>
      <c r="G107" s="150"/>
      <c r="H107" s="156"/>
      <c r="I107" s="159"/>
      <c r="J107" s="6">
        <v>192</v>
      </c>
    </row>
    <row r="108" spans="1:10">
      <c r="A108" s="32" t="str">
        <f t="shared" si="3"/>
        <v>DM11193</v>
      </c>
      <c r="B108" s="151" t="s">
        <v>124</v>
      </c>
      <c r="C108" s="151" t="s">
        <v>81</v>
      </c>
      <c r="D108" s="149" t="s">
        <v>25</v>
      </c>
      <c r="E108" s="150"/>
      <c r="F108" s="149" t="s">
        <v>65</v>
      </c>
      <c r="G108" s="150"/>
      <c r="H108" s="154" t="s">
        <v>125</v>
      </c>
      <c r="I108" s="157" t="s">
        <v>64</v>
      </c>
      <c r="J108" s="6">
        <v>193</v>
      </c>
    </row>
    <row r="109" spans="1:10">
      <c r="A109" s="32" t="str">
        <f t="shared" si="3"/>
        <v>DM11194</v>
      </c>
      <c r="B109" s="152"/>
      <c r="C109" s="152"/>
      <c r="D109" s="149" t="s">
        <v>26</v>
      </c>
      <c r="E109" s="150"/>
      <c r="F109" s="149" t="s">
        <v>27</v>
      </c>
      <c r="G109" s="150"/>
      <c r="H109" s="155"/>
      <c r="I109" s="158"/>
      <c r="J109" s="6">
        <v>194</v>
      </c>
    </row>
    <row r="110" spans="1:10">
      <c r="A110" s="32" t="str">
        <f t="shared" si="3"/>
        <v>DM11195</v>
      </c>
      <c r="B110" s="152"/>
      <c r="C110" s="152"/>
      <c r="D110" s="149" t="s">
        <v>28</v>
      </c>
      <c r="E110" s="150"/>
      <c r="F110" s="149" t="s">
        <v>29</v>
      </c>
      <c r="G110" s="150"/>
      <c r="H110" s="155"/>
      <c r="I110" s="158"/>
      <c r="J110" s="6">
        <v>195</v>
      </c>
    </row>
    <row r="111" spans="1:10">
      <c r="A111" s="32" t="str">
        <f t="shared" si="3"/>
        <v>DM11196</v>
      </c>
      <c r="B111" s="152"/>
      <c r="C111" s="152"/>
      <c r="D111" s="149" t="s">
        <v>30</v>
      </c>
      <c r="E111" s="150"/>
      <c r="F111" s="149" t="s">
        <v>31</v>
      </c>
      <c r="G111" s="150"/>
      <c r="H111" s="155"/>
      <c r="I111" s="158"/>
      <c r="J111" s="6">
        <v>196</v>
      </c>
    </row>
    <row r="112" spans="1:10">
      <c r="A112" s="32" t="str">
        <f t="shared" si="3"/>
        <v>DM11197</v>
      </c>
      <c r="B112" s="152"/>
      <c r="C112" s="152"/>
      <c r="D112" s="149" t="s">
        <v>11</v>
      </c>
      <c r="E112" s="150"/>
      <c r="F112" s="149" t="s">
        <v>12</v>
      </c>
      <c r="G112" s="150"/>
      <c r="H112" s="155"/>
      <c r="I112" s="158"/>
      <c r="J112" s="6">
        <v>197</v>
      </c>
    </row>
    <row r="113" spans="1:10">
      <c r="A113" s="32" t="str">
        <f t="shared" si="3"/>
        <v>DM11198</v>
      </c>
      <c r="B113" s="152"/>
      <c r="C113" s="152"/>
      <c r="D113" s="149" t="s">
        <v>13</v>
      </c>
      <c r="E113" s="150"/>
      <c r="F113" s="149" t="s">
        <v>14</v>
      </c>
      <c r="G113" s="150"/>
      <c r="H113" s="155"/>
      <c r="I113" s="158"/>
      <c r="J113" s="6">
        <v>198</v>
      </c>
    </row>
    <row r="114" spans="1:10">
      <c r="A114" s="32" t="str">
        <f t="shared" si="3"/>
        <v>DM11199</v>
      </c>
      <c r="B114" s="152"/>
      <c r="C114" s="152"/>
      <c r="D114" s="149" t="s">
        <v>16</v>
      </c>
      <c r="E114" s="150"/>
      <c r="F114" s="149" t="s">
        <v>17</v>
      </c>
      <c r="G114" s="150"/>
      <c r="H114" s="155"/>
      <c r="I114" s="158"/>
      <c r="J114" s="6">
        <v>199</v>
      </c>
    </row>
    <row r="115" spans="1:10">
      <c r="A115" s="32" t="str">
        <f t="shared" si="3"/>
        <v>DM11200</v>
      </c>
      <c r="B115" s="152"/>
      <c r="C115" s="152"/>
      <c r="D115" s="149" t="s">
        <v>18</v>
      </c>
      <c r="E115" s="150"/>
      <c r="F115" s="149" t="s">
        <v>19</v>
      </c>
      <c r="G115" s="150"/>
      <c r="H115" s="155"/>
      <c r="I115" s="158"/>
      <c r="J115" s="6">
        <v>200</v>
      </c>
    </row>
    <row r="116" spans="1:10">
      <c r="A116" s="32" t="str">
        <f t="shared" si="3"/>
        <v>DM11201</v>
      </c>
      <c r="B116" s="152"/>
      <c r="C116" s="152"/>
      <c r="D116" s="149" t="s">
        <v>20</v>
      </c>
      <c r="E116" s="150"/>
      <c r="F116" s="149" t="s">
        <v>21</v>
      </c>
      <c r="G116" s="150"/>
      <c r="H116" s="155"/>
      <c r="I116" s="158"/>
      <c r="J116" s="6">
        <v>201</v>
      </c>
    </row>
    <row r="117" spans="1:10">
      <c r="A117" s="32" t="str">
        <f t="shared" si="3"/>
        <v>DM11202</v>
      </c>
      <c r="B117" s="153"/>
      <c r="C117" s="153"/>
      <c r="D117" s="149" t="s">
        <v>22</v>
      </c>
      <c r="E117" s="150"/>
      <c r="F117" s="149" t="s">
        <v>23</v>
      </c>
      <c r="G117" s="150"/>
      <c r="H117" s="156"/>
      <c r="I117" s="159"/>
      <c r="J117" s="6">
        <v>202</v>
      </c>
    </row>
    <row r="118" spans="1:10">
      <c r="A118" s="32" t="str">
        <f t="shared" si="3"/>
        <v>DM11203</v>
      </c>
      <c r="B118" s="69" t="s">
        <v>126</v>
      </c>
      <c r="C118" s="73" t="s">
        <v>81</v>
      </c>
      <c r="D118" s="60" t="s">
        <v>254</v>
      </c>
      <c r="E118" s="60" t="s">
        <v>254</v>
      </c>
      <c r="F118" s="60" t="s">
        <v>254</v>
      </c>
      <c r="G118" s="60" t="s">
        <v>254</v>
      </c>
      <c r="H118" s="70" t="s">
        <v>127</v>
      </c>
      <c r="I118" s="71" t="s">
        <v>128</v>
      </c>
      <c r="J118" s="6">
        <v>203</v>
      </c>
    </row>
    <row r="119" spans="1:10">
      <c r="A119" s="32" t="str">
        <f t="shared" ref="A119:A133" si="4">LEFT($C$3, 2) &amp; (MID($C$3, 3, LEN($C$3)) + J119)</f>
        <v>DM11204</v>
      </c>
      <c r="B119" s="41" t="s">
        <v>0</v>
      </c>
      <c r="C119" s="41"/>
      <c r="D119" s="10"/>
      <c r="E119" s="10"/>
      <c r="F119" s="10"/>
      <c r="G119" s="10"/>
      <c r="H119" s="80"/>
      <c r="I119" s="81"/>
      <c r="J119" s="6">
        <v>204</v>
      </c>
    </row>
    <row r="120" spans="1:10">
      <c r="A120" s="32" t="str">
        <f t="shared" si="4"/>
        <v>DM11205</v>
      </c>
      <c r="B120" s="41" t="s">
        <v>0</v>
      </c>
      <c r="C120" s="41"/>
      <c r="D120" s="10"/>
      <c r="E120" s="10"/>
      <c r="F120" s="10"/>
      <c r="G120" s="10"/>
      <c r="H120" s="80"/>
      <c r="I120" s="81"/>
      <c r="J120" s="6">
        <v>205</v>
      </c>
    </row>
    <row r="121" spans="1:10">
      <c r="A121" s="32" t="str">
        <f t="shared" si="4"/>
        <v>DM11206</v>
      </c>
      <c r="B121" s="41" t="s">
        <v>0</v>
      </c>
      <c r="C121" s="41"/>
      <c r="D121" s="10"/>
      <c r="E121" s="10"/>
      <c r="F121" s="10"/>
      <c r="G121" s="10"/>
      <c r="H121" s="80"/>
      <c r="I121" s="81"/>
      <c r="J121" s="6">
        <v>206</v>
      </c>
    </row>
    <row r="122" spans="1:10">
      <c r="A122" s="32" t="str">
        <f t="shared" si="4"/>
        <v>DM11207</v>
      </c>
      <c r="B122" s="41" t="s">
        <v>0</v>
      </c>
      <c r="C122" s="41"/>
      <c r="D122" s="10"/>
      <c r="E122" s="10"/>
      <c r="F122" s="10"/>
      <c r="G122" s="10"/>
      <c r="H122" s="80"/>
      <c r="I122" s="81"/>
      <c r="J122" s="6">
        <v>207</v>
      </c>
    </row>
    <row r="123" spans="1:10">
      <c r="A123" s="32" t="str">
        <f t="shared" si="4"/>
        <v>DM11208</v>
      </c>
      <c r="B123" s="41" t="s">
        <v>0</v>
      </c>
      <c r="C123" s="41"/>
      <c r="D123" s="10"/>
      <c r="E123" s="10"/>
      <c r="F123" s="10"/>
      <c r="G123" s="10"/>
      <c r="H123" s="80"/>
      <c r="I123" s="81"/>
      <c r="J123" s="6">
        <v>208</v>
      </c>
    </row>
    <row r="124" spans="1:10">
      <c r="A124" s="32" t="str">
        <f t="shared" si="4"/>
        <v>DM11209</v>
      </c>
      <c r="B124" s="41" t="s">
        <v>0</v>
      </c>
      <c r="C124" s="41"/>
      <c r="D124" s="10"/>
      <c r="E124" s="10"/>
      <c r="F124" s="10"/>
      <c r="G124" s="10"/>
      <c r="H124" s="80"/>
      <c r="I124" s="81"/>
      <c r="J124" s="6">
        <v>209</v>
      </c>
    </row>
    <row r="125" spans="1:10">
      <c r="A125" s="32" t="str">
        <f t="shared" si="4"/>
        <v>DM11210</v>
      </c>
      <c r="B125" s="41" t="s">
        <v>0</v>
      </c>
      <c r="C125" s="41"/>
      <c r="D125" s="10"/>
      <c r="E125" s="10"/>
      <c r="F125" s="10"/>
      <c r="G125" s="10"/>
      <c r="H125" s="80"/>
      <c r="I125" s="81"/>
      <c r="J125" s="6">
        <v>210</v>
      </c>
    </row>
    <row r="126" spans="1:10">
      <c r="A126" s="32" t="str">
        <f t="shared" si="4"/>
        <v>DM11211</v>
      </c>
      <c r="B126" s="41" t="s">
        <v>0</v>
      </c>
      <c r="C126" s="41"/>
      <c r="D126" s="10"/>
      <c r="E126" s="10"/>
      <c r="F126" s="10"/>
      <c r="G126" s="10"/>
      <c r="H126" s="80"/>
      <c r="I126" s="81"/>
      <c r="J126" s="6">
        <v>211</v>
      </c>
    </row>
    <row r="127" spans="1:10">
      <c r="A127" s="32" t="str">
        <f t="shared" si="4"/>
        <v>DM11212</v>
      </c>
      <c r="B127" s="41" t="s">
        <v>0</v>
      </c>
      <c r="C127" s="41"/>
      <c r="D127" s="10"/>
      <c r="E127" s="10"/>
      <c r="F127" s="10"/>
      <c r="G127" s="10"/>
      <c r="H127" s="80"/>
      <c r="I127" s="81"/>
      <c r="J127" s="6">
        <v>212</v>
      </c>
    </row>
    <row r="128" spans="1:10">
      <c r="A128" s="32" t="str">
        <f t="shared" si="4"/>
        <v>DM11213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213</v>
      </c>
    </row>
    <row r="129" spans="1:10">
      <c r="A129" s="32" t="str">
        <f t="shared" si="4"/>
        <v>DM11214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214</v>
      </c>
    </row>
    <row r="130" spans="1:10">
      <c r="A130" s="32" t="str">
        <f t="shared" si="4"/>
        <v>DM11215</v>
      </c>
      <c r="B130" s="69" t="s">
        <v>114</v>
      </c>
      <c r="C130" s="73" t="s">
        <v>116</v>
      </c>
      <c r="D130" s="60">
        <v>0</v>
      </c>
      <c r="E130" s="61">
        <v>0</v>
      </c>
      <c r="F130" s="61">
        <v>0</v>
      </c>
      <c r="G130" s="45" t="s">
        <v>115</v>
      </c>
      <c r="H130" s="70" t="s">
        <v>159</v>
      </c>
      <c r="I130" s="71" t="s">
        <v>156</v>
      </c>
      <c r="J130" s="6">
        <v>215</v>
      </c>
    </row>
    <row r="131" spans="1:10" ht="15" customHeight="1">
      <c r="A131" s="32" t="str">
        <f t="shared" si="4"/>
        <v>DM11216</v>
      </c>
      <c r="B131" s="91" t="s">
        <v>191</v>
      </c>
      <c r="C131" s="99" t="s">
        <v>116</v>
      </c>
      <c r="D131" s="61">
        <v>0</v>
      </c>
      <c r="E131" s="61">
        <v>0</v>
      </c>
      <c r="F131" s="96" t="s">
        <v>195</v>
      </c>
      <c r="G131" s="96" t="s">
        <v>195</v>
      </c>
      <c r="H131" s="97" t="s">
        <v>196</v>
      </c>
      <c r="I131" s="98" t="s">
        <v>197</v>
      </c>
      <c r="J131" s="6">
        <v>216</v>
      </c>
    </row>
    <row r="132" spans="1:10">
      <c r="A132" s="32" t="str">
        <f t="shared" si="4"/>
        <v>DM11217</v>
      </c>
      <c r="B132" s="151" t="s">
        <v>129</v>
      </c>
      <c r="C132" s="151" t="s">
        <v>116</v>
      </c>
      <c r="D132" s="149" t="s">
        <v>25</v>
      </c>
      <c r="E132" s="150"/>
      <c r="F132" s="149" t="s">
        <v>65</v>
      </c>
      <c r="G132" s="150"/>
      <c r="H132" s="154" t="s">
        <v>130</v>
      </c>
      <c r="I132" s="157" t="s">
        <v>64</v>
      </c>
      <c r="J132" s="6">
        <v>217</v>
      </c>
    </row>
    <row r="133" spans="1:10">
      <c r="A133" s="32" t="str">
        <f t="shared" si="4"/>
        <v>DM11218</v>
      </c>
      <c r="B133" s="152"/>
      <c r="C133" s="152"/>
      <c r="D133" s="149" t="s">
        <v>26</v>
      </c>
      <c r="E133" s="150"/>
      <c r="F133" s="149" t="s">
        <v>27</v>
      </c>
      <c r="G133" s="150"/>
      <c r="H133" s="155"/>
      <c r="I133" s="158"/>
      <c r="J133" s="6">
        <v>218</v>
      </c>
    </row>
    <row r="134" spans="1:10">
      <c r="A134" s="32" t="str">
        <f t="shared" ref="A134:A197" si="5">LEFT($C$3, 2) &amp; (MID($C$3, 3, LEN($C$3)) + J134)</f>
        <v>DM11219</v>
      </c>
      <c r="B134" s="152"/>
      <c r="C134" s="152"/>
      <c r="D134" s="149" t="s">
        <v>28</v>
      </c>
      <c r="E134" s="150"/>
      <c r="F134" s="149" t="s">
        <v>29</v>
      </c>
      <c r="G134" s="150"/>
      <c r="H134" s="155"/>
      <c r="I134" s="158"/>
      <c r="J134" s="6">
        <v>219</v>
      </c>
    </row>
    <row r="135" spans="1:10">
      <c r="A135" s="32" t="str">
        <f t="shared" si="5"/>
        <v>DM11220</v>
      </c>
      <c r="B135" s="152"/>
      <c r="C135" s="152"/>
      <c r="D135" s="149" t="s">
        <v>30</v>
      </c>
      <c r="E135" s="150"/>
      <c r="F135" s="149" t="s">
        <v>31</v>
      </c>
      <c r="G135" s="150"/>
      <c r="H135" s="155"/>
      <c r="I135" s="158"/>
      <c r="J135" s="6">
        <v>220</v>
      </c>
    </row>
    <row r="136" spans="1:10">
      <c r="A136" s="32" t="str">
        <f t="shared" si="5"/>
        <v>DM11221</v>
      </c>
      <c r="B136" s="152"/>
      <c r="C136" s="152"/>
      <c r="D136" s="149" t="s">
        <v>11</v>
      </c>
      <c r="E136" s="150"/>
      <c r="F136" s="149" t="s">
        <v>12</v>
      </c>
      <c r="G136" s="150"/>
      <c r="H136" s="155"/>
      <c r="I136" s="158"/>
      <c r="J136" s="6">
        <v>221</v>
      </c>
    </row>
    <row r="137" spans="1:10">
      <c r="A137" s="32" t="str">
        <f t="shared" si="5"/>
        <v>DM11222</v>
      </c>
      <c r="B137" s="152"/>
      <c r="C137" s="152"/>
      <c r="D137" s="149" t="s">
        <v>13</v>
      </c>
      <c r="E137" s="150"/>
      <c r="F137" s="149" t="s">
        <v>14</v>
      </c>
      <c r="G137" s="150"/>
      <c r="H137" s="155"/>
      <c r="I137" s="158"/>
      <c r="J137" s="6">
        <v>222</v>
      </c>
    </row>
    <row r="138" spans="1:10">
      <c r="A138" s="32" t="str">
        <f t="shared" si="5"/>
        <v>DM11223</v>
      </c>
      <c r="B138" s="152"/>
      <c r="C138" s="152"/>
      <c r="D138" s="149" t="s">
        <v>16</v>
      </c>
      <c r="E138" s="150"/>
      <c r="F138" s="149" t="s">
        <v>17</v>
      </c>
      <c r="G138" s="150"/>
      <c r="H138" s="155"/>
      <c r="I138" s="158"/>
      <c r="J138" s="6">
        <v>223</v>
      </c>
    </row>
    <row r="139" spans="1:10">
      <c r="A139" s="32" t="str">
        <f t="shared" si="5"/>
        <v>DM11224</v>
      </c>
      <c r="B139" s="152"/>
      <c r="C139" s="152"/>
      <c r="D139" s="149" t="s">
        <v>18</v>
      </c>
      <c r="E139" s="150"/>
      <c r="F139" s="149" t="s">
        <v>19</v>
      </c>
      <c r="G139" s="150"/>
      <c r="H139" s="155"/>
      <c r="I139" s="158"/>
      <c r="J139" s="6">
        <v>224</v>
      </c>
    </row>
    <row r="140" spans="1:10">
      <c r="A140" s="32" t="str">
        <f t="shared" si="5"/>
        <v>DM11225</v>
      </c>
      <c r="B140" s="152"/>
      <c r="C140" s="152"/>
      <c r="D140" s="149" t="s">
        <v>20</v>
      </c>
      <c r="E140" s="150"/>
      <c r="F140" s="149" t="s">
        <v>21</v>
      </c>
      <c r="G140" s="150"/>
      <c r="H140" s="155"/>
      <c r="I140" s="158"/>
      <c r="J140" s="6">
        <v>225</v>
      </c>
    </row>
    <row r="141" spans="1:10">
      <c r="A141" s="32" t="str">
        <f t="shared" si="5"/>
        <v>DM11226</v>
      </c>
      <c r="B141" s="153"/>
      <c r="C141" s="153"/>
      <c r="D141" s="149" t="s">
        <v>22</v>
      </c>
      <c r="E141" s="150"/>
      <c r="F141" s="149" t="s">
        <v>23</v>
      </c>
      <c r="G141" s="150"/>
      <c r="H141" s="156"/>
      <c r="I141" s="159"/>
      <c r="J141" s="6">
        <v>226</v>
      </c>
    </row>
    <row r="142" spans="1:10">
      <c r="A142" s="32" t="str">
        <f t="shared" si="5"/>
        <v>DM11227</v>
      </c>
      <c r="B142" s="151" t="s">
        <v>131</v>
      </c>
      <c r="C142" s="151" t="s">
        <v>116</v>
      </c>
      <c r="D142" s="149" t="s">
        <v>25</v>
      </c>
      <c r="E142" s="150"/>
      <c r="F142" s="149" t="s">
        <v>65</v>
      </c>
      <c r="G142" s="150"/>
      <c r="H142" s="154" t="s">
        <v>132</v>
      </c>
      <c r="I142" s="157" t="s">
        <v>64</v>
      </c>
      <c r="J142" s="6">
        <v>227</v>
      </c>
    </row>
    <row r="143" spans="1:10">
      <c r="A143" s="32" t="str">
        <f t="shared" si="5"/>
        <v>DM11228</v>
      </c>
      <c r="B143" s="152"/>
      <c r="C143" s="152"/>
      <c r="D143" s="149" t="s">
        <v>26</v>
      </c>
      <c r="E143" s="150"/>
      <c r="F143" s="149" t="s">
        <v>27</v>
      </c>
      <c r="G143" s="150"/>
      <c r="H143" s="155"/>
      <c r="I143" s="158"/>
      <c r="J143" s="6">
        <v>228</v>
      </c>
    </row>
    <row r="144" spans="1:10">
      <c r="A144" s="32" t="str">
        <f t="shared" si="5"/>
        <v>DM11229</v>
      </c>
      <c r="B144" s="152"/>
      <c r="C144" s="152"/>
      <c r="D144" s="149" t="s">
        <v>28</v>
      </c>
      <c r="E144" s="150"/>
      <c r="F144" s="149" t="s">
        <v>29</v>
      </c>
      <c r="G144" s="150"/>
      <c r="H144" s="155"/>
      <c r="I144" s="158"/>
      <c r="J144" s="6">
        <v>229</v>
      </c>
    </row>
    <row r="145" spans="1:10">
      <c r="A145" s="32" t="str">
        <f t="shared" si="5"/>
        <v>DM11230</v>
      </c>
      <c r="B145" s="152"/>
      <c r="C145" s="152"/>
      <c r="D145" s="149" t="s">
        <v>30</v>
      </c>
      <c r="E145" s="150"/>
      <c r="F145" s="149" t="s">
        <v>31</v>
      </c>
      <c r="G145" s="150"/>
      <c r="H145" s="155"/>
      <c r="I145" s="158"/>
      <c r="J145" s="6">
        <v>230</v>
      </c>
    </row>
    <row r="146" spans="1:10">
      <c r="A146" s="32" t="str">
        <f t="shared" si="5"/>
        <v>DM11231</v>
      </c>
      <c r="B146" s="152"/>
      <c r="C146" s="152"/>
      <c r="D146" s="149" t="s">
        <v>11</v>
      </c>
      <c r="E146" s="150"/>
      <c r="F146" s="149" t="s">
        <v>12</v>
      </c>
      <c r="G146" s="150"/>
      <c r="H146" s="155"/>
      <c r="I146" s="158"/>
      <c r="J146" s="6">
        <v>231</v>
      </c>
    </row>
    <row r="147" spans="1:10">
      <c r="A147" s="32" t="str">
        <f t="shared" si="5"/>
        <v>DM11232</v>
      </c>
      <c r="B147" s="152"/>
      <c r="C147" s="152"/>
      <c r="D147" s="149" t="s">
        <v>13</v>
      </c>
      <c r="E147" s="150"/>
      <c r="F147" s="149" t="s">
        <v>14</v>
      </c>
      <c r="G147" s="150"/>
      <c r="H147" s="155"/>
      <c r="I147" s="158"/>
      <c r="J147" s="6">
        <v>232</v>
      </c>
    </row>
    <row r="148" spans="1:10">
      <c r="A148" s="32" t="str">
        <f t="shared" si="5"/>
        <v>DM11233</v>
      </c>
      <c r="B148" s="152"/>
      <c r="C148" s="152"/>
      <c r="D148" s="149" t="s">
        <v>16</v>
      </c>
      <c r="E148" s="150"/>
      <c r="F148" s="149" t="s">
        <v>17</v>
      </c>
      <c r="G148" s="150"/>
      <c r="H148" s="155"/>
      <c r="I148" s="158"/>
      <c r="J148" s="6">
        <v>233</v>
      </c>
    </row>
    <row r="149" spans="1:10">
      <c r="A149" s="32" t="str">
        <f t="shared" si="5"/>
        <v>DM11234</v>
      </c>
      <c r="B149" s="152"/>
      <c r="C149" s="152"/>
      <c r="D149" s="149" t="s">
        <v>18</v>
      </c>
      <c r="E149" s="150"/>
      <c r="F149" s="149" t="s">
        <v>19</v>
      </c>
      <c r="G149" s="150"/>
      <c r="H149" s="155"/>
      <c r="I149" s="158"/>
      <c r="J149" s="6">
        <v>234</v>
      </c>
    </row>
    <row r="150" spans="1:10">
      <c r="A150" s="32" t="str">
        <f t="shared" si="5"/>
        <v>DM11235</v>
      </c>
      <c r="B150" s="152"/>
      <c r="C150" s="152"/>
      <c r="D150" s="149" t="s">
        <v>20</v>
      </c>
      <c r="E150" s="150"/>
      <c r="F150" s="149" t="s">
        <v>21</v>
      </c>
      <c r="G150" s="150"/>
      <c r="H150" s="155"/>
      <c r="I150" s="158"/>
      <c r="J150" s="6">
        <v>235</v>
      </c>
    </row>
    <row r="151" spans="1:10">
      <c r="A151" s="32" t="str">
        <f t="shared" si="5"/>
        <v>DM11236</v>
      </c>
      <c r="B151" s="153"/>
      <c r="C151" s="153"/>
      <c r="D151" s="149" t="s">
        <v>22</v>
      </c>
      <c r="E151" s="150"/>
      <c r="F151" s="149" t="s">
        <v>23</v>
      </c>
      <c r="G151" s="150"/>
      <c r="H151" s="156"/>
      <c r="I151" s="159"/>
      <c r="J151" s="6">
        <v>236</v>
      </c>
    </row>
    <row r="152" spans="1:10">
      <c r="A152" s="32" t="str">
        <f t="shared" si="5"/>
        <v>DM11237</v>
      </c>
      <c r="B152" s="151" t="s">
        <v>133</v>
      </c>
      <c r="C152" s="151" t="s">
        <v>116</v>
      </c>
      <c r="D152" s="149" t="s">
        <v>25</v>
      </c>
      <c r="E152" s="150"/>
      <c r="F152" s="149" t="s">
        <v>65</v>
      </c>
      <c r="G152" s="150"/>
      <c r="H152" s="154" t="s">
        <v>134</v>
      </c>
      <c r="I152" s="157" t="s">
        <v>64</v>
      </c>
      <c r="J152" s="6">
        <v>237</v>
      </c>
    </row>
    <row r="153" spans="1:10">
      <c r="A153" s="32" t="str">
        <f t="shared" si="5"/>
        <v>DM11238</v>
      </c>
      <c r="B153" s="152"/>
      <c r="C153" s="152"/>
      <c r="D153" s="149" t="s">
        <v>26</v>
      </c>
      <c r="E153" s="150"/>
      <c r="F153" s="149" t="s">
        <v>27</v>
      </c>
      <c r="G153" s="150"/>
      <c r="H153" s="155"/>
      <c r="I153" s="158"/>
      <c r="J153" s="6">
        <v>238</v>
      </c>
    </row>
    <row r="154" spans="1:10">
      <c r="A154" s="32" t="str">
        <f t="shared" si="5"/>
        <v>DM11239</v>
      </c>
      <c r="B154" s="152"/>
      <c r="C154" s="152"/>
      <c r="D154" s="149" t="s">
        <v>28</v>
      </c>
      <c r="E154" s="150"/>
      <c r="F154" s="149" t="s">
        <v>29</v>
      </c>
      <c r="G154" s="150"/>
      <c r="H154" s="155"/>
      <c r="I154" s="158"/>
      <c r="J154" s="6">
        <v>239</v>
      </c>
    </row>
    <row r="155" spans="1:10">
      <c r="A155" s="32" t="str">
        <f t="shared" si="5"/>
        <v>DM11240</v>
      </c>
      <c r="B155" s="152"/>
      <c r="C155" s="152"/>
      <c r="D155" s="149" t="s">
        <v>30</v>
      </c>
      <c r="E155" s="150"/>
      <c r="F155" s="149" t="s">
        <v>31</v>
      </c>
      <c r="G155" s="150"/>
      <c r="H155" s="155"/>
      <c r="I155" s="158"/>
      <c r="J155" s="6">
        <v>240</v>
      </c>
    </row>
    <row r="156" spans="1:10">
      <c r="A156" s="32" t="str">
        <f t="shared" si="5"/>
        <v>DM11241</v>
      </c>
      <c r="B156" s="152"/>
      <c r="C156" s="152"/>
      <c r="D156" s="149" t="s">
        <v>11</v>
      </c>
      <c r="E156" s="150"/>
      <c r="F156" s="149" t="s">
        <v>12</v>
      </c>
      <c r="G156" s="150"/>
      <c r="H156" s="155"/>
      <c r="I156" s="158"/>
      <c r="J156" s="6">
        <v>241</v>
      </c>
    </row>
    <row r="157" spans="1:10">
      <c r="A157" s="32" t="str">
        <f t="shared" si="5"/>
        <v>DM11242</v>
      </c>
      <c r="B157" s="152"/>
      <c r="C157" s="152"/>
      <c r="D157" s="149" t="s">
        <v>13</v>
      </c>
      <c r="E157" s="150"/>
      <c r="F157" s="149" t="s">
        <v>14</v>
      </c>
      <c r="G157" s="150"/>
      <c r="H157" s="155"/>
      <c r="I157" s="158"/>
      <c r="J157" s="6">
        <v>242</v>
      </c>
    </row>
    <row r="158" spans="1:10">
      <c r="A158" s="32" t="str">
        <f t="shared" si="5"/>
        <v>DM11243</v>
      </c>
      <c r="B158" s="152"/>
      <c r="C158" s="152"/>
      <c r="D158" s="149" t="s">
        <v>16</v>
      </c>
      <c r="E158" s="150"/>
      <c r="F158" s="149" t="s">
        <v>17</v>
      </c>
      <c r="G158" s="150"/>
      <c r="H158" s="155"/>
      <c r="I158" s="158"/>
      <c r="J158" s="6">
        <v>243</v>
      </c>
    </row>
    <row r="159" spans="1:10">
      <c r="A159" s="32" t="str">
        <f t="shared" si="5"/>
        <v>DM11244</v>
      </c>
      <c r="B159" s="152"/>
      <c r="C159" s="152"/>
      <c r="D159" s="149" t="s">
        <v>18</v>
      </c>
      <c r="E159" s="150"/>
      <c r="F159" s="149" t="s">
        <v>19</v>
      </c>
      <c r="G159" s="150"/>
      <c r="H159" s="155"/>
      <c r="I159" s="158"/>
      <c r="J159" s="6">
        <v>244</v>
      </c>
    </row>
    <row r="160" spans="1:10">
      <c r="A160" s="32" t="str">
        <f t="shared" si="5"/>
        <v>DM11245</v>
      </c>
      <c r="B160" s="152"/>
      <c r="C160" s="152"/>
      <c r="D160" s="149" t="s">
        <v>20</v>
      </c>
      <c r="E160" s="150"/>
      <c r="F160" s="149" t="s">
        <v>21</v>
      </c>
      <c r="G160" s="150"/>
      <c r="H160" s="155"/>
      <c r="I160" s="158"/>
      <c r="J160" s="6">
        <v>245</v>
      </c>
    </row>
    <row r="161" spans="1:10">
      <c r="A161" s="32" t="str">
        <f t="shared" si="5"/>
        <v>DM11246</v>
      </c>
      <c r="B161" s="153"/>
      <c r="C161" s="153"/>
      <c r="D161" s="149" t="s">
        <v>22</v>
      </c>
      <c r="E161" s="150"/>
      <c r="F161" s="149" t="s">
        <v>23</v>
      </c>
      <c r="G161" s="150"/>
      <c r="H161" s="156"/>
      <c r="I161" s="159"/>
      <c r="J161" s="6">
        <v>246</v>
      </c>
    </row>
    <row r="162" spans="1:10">
      <c r="A162" s="32" t="str">
        <f t="shared" si="5"/>
        <v>DM11247</v>
      </c>
      <c r="B162" s="151" t="s">
        <v>135</v>
      </c>
      <c r="C162" s="151" t="s">
        <v>116</v>
      </c>
      <c r="D162" s="149" t="s">
        <v>25</v>
      </c>
      <c r="E162" s="150"/>
      <c r="F162" s="149" t="s">
        <v>65</v>
      </c>
      <c r="G162" s="150"/>
      <c r="H162" s="154" t="s">
        <v>136</v>
      </c>
      <c r="I162" s="157" t="s">
        <v>64</v>
      </c>
      <c r="J162" s="6">
        <v>247</v>
      </c>
    </row>
    <row r="163" spans="1:10">
      <c r="A163" s="32" t="str">
        <f t="shared" si="5"/>
        <v>DM11248</v>
      </c>
      <c r="B163" s="152"/>
      <c r="C163" s="152"/>
      <c r="D163" s="149" t="s">
        <v>26</v>
      </c>
      <c r="E163" s="150"/>
      <c r="F163" s="149" t="s">
        <v>27</v>
      </c>
      <c r="G163" s="150"/>
      <c r="H163" s="155"/>
      <c r="I163" s="158"/>
      <c r="J163" s="6">
        <v>248</v>
      </c>
    </row>
    <row r="164" spans="1:10">
      <c r="A164" s="32" t="str">
        <f t="shared" si="5"/>
        <v>DM11249</v>
      </c>
      <c r="B164" s="152"/>
      <c r="C164" s="152"/>
      <c r="D164" s="149" t="s">
        <v>28</v>
      </c>
      <c r="E164" s="150"/>
      <c r="F164" s="149" t="s">
        <v>29</v>
      </c>
      <c r="G164" s="150"/>
      <c r="H164" s="155"/>
      <c r="I164" s="158"/>
      <c r="J164" s="6">
        <v>249</v>
      </c>
    </row>
    <row r="165" spans="1:10">
      <c r="A165" s="32" t="str">
        <f t="shared" si="5"/>
        <v>DM11250</v>
      </c>
      <c r="B165" s="152"/>
      <c r="C165" s="152"/>
      <c r="D165" s="149" t="s">
        <v>30</v>
      </c>
      <c r="E165" s="150"/>
      <c r="F165" s="149" t="s">
        <v>31</v>
      </c>
      <c r="G165" s="150"/>
      <c r="H165" s="155"/>
      <c r="I165" s="158"/>
      <c r="J165" s="6">
        <v>250</v>
      </c>
    </row>
    <row r="166" spans="1:10">
      <c r="A166" s="32" t="str">
        <f t="shared" si="5"/>
        <v>DM11251</v>
      </c>
      <c r="B166" s="152"/>
      <c r="C166" s="152"/>
      <c r="D166" s="149" t="s">
        <v>11</v>
      </c>
      <c r="E166" s="150"/>
      <c r="F166" s="149" t="s">
        <v>12</v>
      </c>
      <c r="G166" s="150"/>
      <c r="H166" s="155"/>
      <c r="I166" s="158"/>
      <c r="J166" s="6">
        <v>251</v>
      </c>
    </row>
    <row r="167" spans="1:10">
      <c r="A167" s="32" t="str">
        <f t="shared" si="5"/>
        <v>DM11252</v>
      </c>
      <c r="B167" s="152"/>
      <c r="C167" s="152"/>
      <c r="D167" s="149" t="s">
        <v>13</v>
      </c>
      <c r="E167" s="150"/>
      <c r="F167" s="149" t="s">
        <v>14</v>
      </c>
      <c r="G167" s="150"/>
      <c r="H167" s="155"/>
      <c r="I167" s="158"/>
      <c r="J167" s="6">
        <v>252</v>
      </c>
    </row>
    <row r="168" spans="1:10">
      <c r="A168" s="32" t="str">
        <f t="shared" si="5"/>
        <v>DM11253</v>
      </c>
      <c r="B168" s="152"/>
      <c r="C168" s="152"/>
      <c r="D168" s="149" t="s">
        <v>16</v>
      </c>
      <c r="E168" s="150"/>
      <c r="F168" s="149" t="s">
        <v>17</v>
      </c>
      <c r="G168" s="150"/>
      <c r="H168" s="155"/>
      <c r="I168" s="158"/>
      <c r="J168" s="6">
        <v>253</v>
      </c>
    </row>
    <row r="169" spans="1:10">
      <c r="A169" s="32" t="str">
        <f t="shared" si="5"/>
        <v>DM11254</v>
      </c>
      <c r="B169" s="152"/>
      <c r="C169" s="152"/>
      <c r="D169" s="149" t="s">
        <v>18</v>
      </c>
      <c r="E169" s="150"/>
      <c r="F169" s="149" t="s">
        <v>19</v>
      </c>
      <c r="G169" s="150"/>
      <c r="H169" s="155"/>
      <c r="I169" s="158"/>
      <c r="J169" s="6">
        <v>254</v>
      </c>
    </row>
    <row r="170" spans="1:10">
      <c r="A170" s="32" t="str">
        <f t="shared" si="5"/>
        <v>DM11255</v>
      </c>
      <c r="B170" s="152"/>
      <c r="C170" s="152"/>
      <c r="D170" s="149" t="s">
        <v>20</v>
      </c>
      <c r="E170" s="150"/>
      <c r="F170" s="149" t="s">
        <v>21</v>
      </c>
      <c r="G170" s="150"/>
      <c r="H170" s="155"/>
      <c r="I170" s="158"/>
      <c r="J170" s="6">
        <v>255</v>
      </c>
    </row>
    <row r="171" spans="1:10">
      <c r="A171" s="32" t="str">
        <f t="shared" si="5"/>
        <v>DM11256</v>
      </c>
      <c r="B171" s="153"/>
      <c r="C171" s="153"/>
      <c r="D171" s="149" t="s">
        <v>22</v>
      </c>
      <c r="E171" s="150"/>
      <c r="F171" s="149" t="s">
        <v>23</v>
      </c>
      <c r="G171" s="150"/>
      <c r="H171" s="156"/>
      <c r="I171" s="159"/>
      <c r="J171" s="6">
        <v>256</v>
      </c>
    </row>
    <row r="172" spans="1:10">
      <c r="A172" s="32" t="str">
        <f t="shared" si="5"/>
        <v>DM11257</v>
      </c>
      <c r="B172" s="151" t="s">
        <v>137</v>
      </c>
      <c r="C172" s="151" t="s">
        <v>116</v>
      </c>
      <c r="D172" s="149" t="s">
        <v>25</v>
      </c>
      <c r="E172" s="150"/>
      <c r="F172" s="149" t="s">
        <v>65</v>
      </c>
      <c r="G172" s="150"/>
      <c r="H172" s="154" t="s">
        <v>138</v>
      </c>
      <c r="I172" s="157" t="s">
        <v>64</v>
      </c>
      <c r="J172" s="6">
        <v>257</v>
      </c>
    </row>
    <row r="173" spans="1:10">
      <c r="A173" s="32" t="str">
        <f t="shared" si="5"/>
        <v>DM11258</v>
      </c>
      <c r="B173" s="152"/>
      <c r="C173" s="152"/>
      <c r="D173" s="149" t="s">
        <v>26</v>
      </c>
      <c r="E173" s="150"/>
      <c r="F173" s="149" t="s">
        <v>27</v>
      </c>
      <c r="G173" s="150"/>
      <c r="H173" s="155"/>
      <c r="I173" s="158"/>
      <c r="J173" s="6">
        <v>258</v>
      </c>
    </row>
    <row r="174" spans="1:10">
      <c r="A174" s="32" t="str">
        <f t="shared" si="5"/>
        <v>DM11259</v>
      </c>
      <c r="B174" s="152"/>
      <c r="C174" s="152"/>
      <c r="D174" s="149" t="s">
        <v>28</v>
      </c>
      <c r="E174" s="150"/>
      <c r="F174" s="149" t="s">
        <v>29</v>
      </c>
      <c r="G174" s="150"/>
      <c r="H174" s="155"/>
      <c r="I174" s="158"/>
      <c r="J174" s="6">
        <v>259</v>
      </c>
    </row>
    <row r="175" spans="1:10">
      <c r="A175" s="32" t="str">
        <f t="shared" si="5"/>
        <v>DM11260</v>
      </c>
      <c r="B175" s="152"/>
      <c r="C175" s="152"/>
      <c r="D175" s="149" t="s">
        <v>30</v>
      </c>
      <c r="E175" s="150"/>
      <c r="F175" s="149" t="s">
        <v>31</v>
      </c>
      <c r="G175" s="150"/>
      <c r="H175" s="155"/>
      <c r="I175" s="158"/>
      <c r="J175" s="6">
        <v>260</v>
      </c>
    </row>
    <row r="176" spans="1:10">
      <c r="A176" s="32" t="str">
        <f t="shared" si="5"/>
        <v>DM11261</v>
      </c>
      <c r="B176" s="152"/>
      <c r="C176" s="152"/>
      <c r="D176" s="149" t="s">
        <v>11</v>
      </c>
      <c r="E176" s="150"/>
      <c r="F176" s="149" t="s">
        <v>12</v>
      </c>
      <c r="G176" s="150"/>
      <c r="H176" s="155"/>
      <c r="I176" s="158"/>
      <c r="J176" s="6">
        <v>261</v>
      </c>
    </row>
    <row r="177" spans="1:10">
      <c r="A177" s="32" t="str">
        <f t="shared" si="5"/>
        <v>DM11262</v>
      </c>
      <c r="B177" s="152"/>
      <c r="C177" s="152"/>
      <c r="D177" s="149" t="s">
        <v>13</v>
      </c>
      <c r="E177" s="150"/>
      <c r="F177" s="149" t="s">
        <v>14</v>
      </c>
      <c r="G177" s="150"/>
      <c r="H177" s="155"/>
      <c r="I177" s="158"/>
      <c r="J177" s="6">
        <v>262</v>
      </c>
    </row>
    <row r="178" spans="1:10">
      <c r="A178" s="32" t="str">
        <f t="shared" si="5"/>
        <v>DM11263</v>
      </c>
      <c r="B178" s="152"/>
      <c r="C178" s="152"/>
      <c r="D178" s="149" t="s">
        <v>16</v>
      </c>
      <c r="E178" s="150"/>
      <c r="F178" s="149" t="s">
        <v>17</v>
      </c>
      <c r="G178" s="150"/>
      <c r="H178" s="155"/>
      <c r="I178" s="158"/>
      <c r="J178" s="6">
        <v>263</v>
      </c>
    </row>
    <row r="179" spans="1:10">
      <c r="A179" s="32" t="str">
        <f t="shared" si="5"/>
        <v>DM11264</v>
      </c>
      <c r="B179" s="152"/>
      <c r="C179" s="152"/>
      <c r="D179" s="149" t="s">
        <v>18</v>
      </c>
      <c r="E179" s="150"/>
      <c r="F179" s="149" t="s">
        <v>19</v>
      </c>
      <c r="G179" s="150"/>
      <c r="H179" s="155"/>
      <c r="I179" s="158"/>
      <c r="J179" s="6">
        <v>264</v>
      </c>
    </row>
    <row r="180" spans="1:10">
      <c r="A180" s="32" t="str">
        <f t="shared" si="5"/>
        <v>DM11265</v>
      </c>
      <c r="B180" s="152"/>
      <c r="C180" s="152"/>
      <c r="D180" s="149" t="s">
        <v>20</v>
      </c>
      <c r="E180" s="150"/>
      <c r="F180" s="149" t="s">
        <v>21</v>
      </c>
      <c r="G180" s="150"/>
      <c r="H180" s="155"/>
      <c r="I180" s="158"/>
      <c r="J180" s="6">
        <v>265</v>
      </c>
    </row>
    <row r="181" spans="1:10">
      <c r="A181" s="32" t="str">
        <f t="shared" si="5"/>
        <v>DM11266</v>
      </c>
      <c r="B181" s="153"/>
      <c r="C181" s="153"/>
      <c r="D181" s="149" t="s">
        <v>22</v>
      </c>
      <c r="E181" s="150"/>
      <c r="F181" s="149" t="s">
        <v>23</v>
      </c>
      <c r="G181" s="150"/>
      <c r="H181" s="156"/>
      <c r="I181" s="159"/>
      <c r="J181" s="6">
        <v>266</v>
      </c>
    </row>
    <row r="182" spans="1:10">
      <c r="A182" s="32" t="str">
        <f t="shared" si="5"/>
        <v>DM11267</v>
      </c>
      <c r="B182" s="151" t="s">
        <v>139</v>
      </c>
      <c r="C182" s="151" t="s">
        <v>116</v>
      </c>
      <c r="D182" s="149" t="s">
        <v>25</v>
      </c>
      <c r="E182" s="150"/>
      <c r="F182" s="149" t="s">
        <v>65</v>
      </c>
      <c r="G182" s="150"/>
      <c r="H182" s="154" t="s">
        <v>140</v>
      </c>
      <c r="I182" s="157" t="s">
        <v>64</v>
      </c>
      <c r="J182" s="6">
        <v>267</v>
      </c>
    </row>
    <row r="183" spans="1:10">
      <c r="A183" s="32" t="str">
        <f t="shared" si="5"/>
        <v>DM11268</v>
      </c>
      <c r="B183" s="152"/>
      <c r="C183" s="152"/>
      <c r="D183" s="149" t="s">
        <v>26</v>
      </c>
      <c r="E183" s="150"/>
      <c r="F183" s="149" t="s">
        <v>27</v>
      </c>
      <c r="G183" s="150"/>
      <c r="H183" s="155"/>
      <c r="I183" s="158"/>
      <c r="J183" s="6">
        <v>268</v>
      </c>
    </row>
    <row r="184" spans="1:10">
      <c r="A184" s="32" t="str">
        <f t="shared" si="5"/>
        <v>DM11269</v>
      </c>
      <c r="B184" s="152"/>
      <c r="C184" s="152"/>
      <c r="D184" s="149" t="s">
        <v>28</v>
      </c>
      <c r="E184" s="150"/>
      <c r="F184" s="149" t="s">
        <v>29</v>
      </c>
      <c r="G184" s="150"/>
      <c r="H184" s="155"/>
      <c r="I184" s="158"/>
      <c r="J184" s="6">
        <v>269</v>
      </c>
    </row>
    <row r="185" spans="1:10">
      <c r="A185" s="32" t="str">
        <f t="shared" si="5"/>
        <v>DM11270</v>
      </c>
      <c r="B185" s="152"/>
      <c r="C185" s="152"/>
      <c r="D185" s="149" t="s">
        <v>30</v>
      </c>
      <c r="E185" s="150"/>
      <c r="F185" s="149" t="s">
        <v>31</v>
      </c>
      <c r="G185" s="150"/>
      <c r="H185" s="155"/>
      <c r="I185" s="158"/>
      <c r="J185" s="6">
        <v>270</v>
      </c>
    </row>
    <row r="186" spans="1:10">
      <c r="A186" s="32" t="str">
        <f t="shared" si="5"/>
        <v>DM11271</v>
      </c>
      <c r="B186" s="152"/>
      <c r="C186" s="152"/>
      <c r="D186" s="149" t="s">
        <v>11</v>
      </c>
      <c r="E186" s="150"/>
      <c r="F186" s="149" t="s">
        <v>12</v>
      </c>
      <c r="G186" s="150"/>
      <c r="H186" s="155"/>
      <c r="I186" s="158"/>
      <c r="J186" s="6">
        <v>271</v>
      </c>
    </row>
    <row r="187" spans="1:10">
      <c r="A187" s="32" t="str">
        <f t="shared" si="5"/>
        <v>DM11272</v>
      </c>
      <c r="B187" s="152"/>
      <c r="C187" s="152"/>
      <c r="D187" s="149" t="s">
        <v>13</v>
      </c>
      <c r="E187" s="150"/>
      <c r="F187" s="149" t="s">
        <v>14</v>
      </c>
      <c r="G187" s="150"/>
      <c r="H187" s="155"/>
      <c r="I187" s="158"/>
      <c r="J187" s="6">
        <v>272</v>
      </c>
    </row>
    <row r="188" spans="1:10">
      <c r="A188" s="32" t="str">
        <f t="shared" si="5"/>
        <v>DM11273</v>
      </c>
      <c r="B188" s="152"/>
      <c r="C188" s="152"/>
      <c r="D188" s="149" t="s">
        <v>16</v>
      </c>
      <c r="E188" s="150"/>
      <c r="F188" s="149" t="s">
        <v>17</v>
      </c>
      <c r="G188" s="150"/>
      <c r="H188" s="155"/>
      <c r="I188" s="158"/>
      <c r="J188" s="6">
        <v>273</v>
      </c>
    </row>
    <row r="189" spans="1:10">
      <c r="A189" s="32" t="str">
        <f t="shared" si="5"/>
        <v>DM11274</v>
      </c>
      <c r="B189" s="152"/>
      <c r="C189" s="152"/>
      <c r="D189" s="149" t="s">
        <v>18</v>
      </c>
      <c r="E189" s="150"/>
      <c r="F189" s="149" t="s">
        <v>19</v>
      </c>
      <c r="G189" s="150"/>
      <c r="H189" s="155"/>
      <c r="I189" s="158"/>
      <c r="J189" s="6">
        <v>274</v>
      </c>
    </row>
    <row r="190" spans="1:10">
      <c r="A190" s="32" t="str">
        <f t="shared" si="5"/>
        <v>DM11275</v>
      </c>
      <c r="B190" s="152"/>
      <c r="C190" s="152"/>
      <c r="D190" s="149" t="s">
        <v>20</v>
      </c>
      <c r="E190" s="150"/>
      <c r="F190" s="149" t="s">
        <v>21</v>
      </c>
      <c r="G190" s="150"/>
      <c r="H190" s="155"/>
      <c r="I190" s="158"/>
      <c r="J190" s="6">
        <v>275</v>
      </c>
    </row>
    <row r="191" spans="1:10">
      <c r="A191" s="32" t="str">
        <f t="shared" si="5"/>
        <v>DM11276</v>
      </c>
      <c r="B191" s="153"/>
      <c r="C191" s="153"/>
      <c r="D191" s="149" t="s">
        <v>22</v>
      </c>
      <c r="E191" s="150"/>
      <c r="F191" s="149" t="s">
        <v>23</v>
      </c>
      <c r="G191" s="150"/>
      <c r="H191" s="156"/>
      <c r="I191" s="159"/>
      <c r="J191" s="6">
        <v>276</v>
      </c>
    </row>
    <row r="192" spans="1:10">
      <c r="A192" s="32" t="str">
        <f t="shared" si="5"/>
        <v>DM11277</v>
      </c>
      <c r="B192" s="151" t="s">
        <v>141</v>
      </c>
      <c r="C192" s="151" t="s">
        <v>116</v>
      </c>
      <c r="D192" s="149" t="s">
        <v>25</v>
      </c>
      <c r="E192" s="150"/>
      <c r="F192" s="149" t="s">
        <v>65</v>
      </c>
      <c r="G192" s="150"/>
      <c r="H192" s="154" t="s">
        <v>142</v>
      </c>
      <c r="I192" s="157" t="s">
        <v>64</v>
      </c>
      <c r="J192" s="6">
        <v>277</v>
      </c>
    </row>
    <row r="193" spans="1:10">
      <c r="A193" s="32" t="str">
        <f t="shared" si="5"/>
        <v>DM11278</v>
      </c>
      <c r="B193" s="152"/>
      <c r="C193" s="152"/>
      <c r="D193" s="149" t="s">
        <v>26</v>
      </c>
      <c r="E193" s="150"/>
      <c r="F193" s="149" t="s">
        <v>27</v>
      </c>
      <c r="G193" s="150"/>
      <c r="H193" s="155"/>
      <c r="I193" s="158"/>
      <c r="J193" s="6">
        <v>278</v>
      </c>
    </row>
    <row r="194" spans="1:10">
      <c r="A194" s="32" t="str">
        <f t="shared" si="5"/>
        <v>DM11279</v>
      </c>
      <c r="B194" s="152"/>
      <c r="C194" s="152"/>
      <c r="D194" s="149" t="s">
        <v>28</v>
      </c>
      <c r="E194" s="150"/>
      <c r="F194" s="149" t="s">
        <v>29</v>
      </c>
      <c r="G194" s="150"/>
      <c r="H194" s="155"/>
      <c r="I194" s="158"/>
      <c r="J194" s="6">
        <v>279</v>
      </c>
    </row>
    <row r="195" spans="1:10">
      <c r="A195" s="32" t="str">
        <f t="shared" si="5"/>
        <v>DM11280</v>
      </c>
      <c r="B195" s="152"/>
      <c r="C195" s="152"/>
      <c r="D195" s="149" t="s">
        <v>30</v>
      </c>
      <c r="E195" s="150"/>
      <c r="F195" s="149" t="s">
        <v>31</v>
      </c>
      <c r="G195" s="150"/>
      <c r="H195" s="155"/>
      <c r="I195" s="158"/>
      <c r="J195" s="6">
        <v>280</v>
      </c>
    </row>
    <row r="196" spans="1:10">
      <c r="A196" s="32" t="str">
        <f t="shared" si="5"/>
        <v>DM11281</v>
      </c>
      <c r="B196" s="152"/>
      <c r="C196" s="152"/>
      <c r="D196" s="149" t="s">
        <v>11</v>
      </c>
      <c r="E196" s="150"/>
      <c r="F196" s="149" t="s">
        <v>12</v>
      </c>
      <c r="G196" s="150"/>
      <c r="H196" s="155"/>
      <c r="I196" s="158"/>
      <c r="J196" s="6">
        <v>281</v>
      </c>
    </row>
    <row r="197" spans="1:10">
      <c r="A197" s="32" t="str">
        <f t="shared" si="5"/>
        <v>DM11282</v>
      </c>
      <c r="B197" s="152"/>
      <c r="C197" s="152"/>
      <c r="D197" s="149" t="s">
        <v>13</v>
      </c>
      <c r="E197" s="150"/>
      <c r="F197" s="149" t="s">
        <v>14</v>
      </c>
      <c r="G197" s="150"/>
      <c r="H197" s="155"/>
      <c r="I197" s="158"/>
      <c r="J197" s="6">
        <v>282</v>
      </c>
    </row>
    <row r="198" spans="1:10">
      <c r="A198" s="32" t="str">
        <f t="shared" ref="A198:A261" si="6">LEFT($C$3, 2) &amp; (MID($C$3, 3, LEN($C$3)) + J198)</f>
        <v>DM11283</v>
      </c>
      <c r="B198" s="152"/>
      <c r="C198" s="152"/>
      <c r="D198" s="149" t="s">
        <v>16</v>
      </c>
      <c r="E198" s="150"/>
      <c r="F198" s="149" t="s">
        <v>17</v>
      </c>
      <c r="G198" s="150"/>
      <c r="H198" s="155"/>
      <c r="I198" s="158"/>
      <c r="J198" s="6">
        <v>283</v>
      </c>
    </row>
    <row r="199" spans="1:10">
      <c r="A199" s="32" t="str">
        <f t="shared" si="6"/>
        <v>DM11284</v>
      </c>
      <c r="B199" s="152"/>
      <c r="C199" s="152"/>
      <c r="D199" s="149" t="s">
        <v>18</v>
      </c>
      <c r="E199" s="150"/>
      <c r="F199" s="149" t="s">
        <v>19</v>
      </c>
      <c r="G199" s="150"/>
      <c r="H199" s="155"/>
      <c r="I199" s="158"/>
      <c r="J199" s="6">
        <v>284</v>
      </c>
    </row>
    <row r="200" spans="1:10">
      <c r="A200" s="32" t="str">
        <f t="shared" si="6"/>
        <v>DM11285</v>
      </c>
      <c r="B200" s="152"/>
      <c r="C200" s="152"/>
      <c r="D200" s="149" t="s">
        <v>20</v>
      </c>
      <c r="E200" s="150"/>
      <c r="F200" s="149" t="s">
        <v>21</v>
      </c>
      <c r="G200" s="150"/>
      <c r="H200" s="155"/>
      <c r="I200" s="158"/>
      <c r="J200" s="6">
        <v>285</v>
      </c>
    </row>
    <row r="201" spans="1:10">
      <c r="A201" s="32" t="str">
        <f t="shared" si="6"/>
        <v>DM11286</v>
      </c>
      <c r="B201" s="153"/>
      <c r="C201" s="153"/>
      <c r="D201" s="149" t="s">
        <v>22</v>
      </c>
      <c r="E201" s="150"/>
      <c r="F201" s="149" t="s">
        <v>23</v>
      </c>
      <c r="G201" s="150"/>
      <c r="H201" s="156"/>
      <c r="I201" s="159"/>
      <c r="J201" s="6">
        <v>286</v>
      </c>
    </row>
    <row r="202" spans="1:10">
      <c r="A202" s="32" t="str">
        <f t="shared" si="6"/>
        <v>DM11287</v>
      </c>
      <c r="B202" s="151" t="s">
        <v>143</v>
      </c>
      <c r="C202" s="151" t="s">
        <v>116</v>
      </c>
      <c r="D202" s="149" t="s">
        <v>25</v>
      </c>
      <c r="E202" s="150"/>
      <c r="F202" s="149" t="s">
        <v>65</v>
      </c>
      <c r="G202" s="150"/>
      <c r="H202" s="154" t="s">
        <v>144</v>
      </c>
      <c r="I202" s="157" t="s">
        <v>64</v>
      </c>
      <c r="J202" s="6">
        <v>287</v>
      </c>
    </row>
    <row r="203" spans="1:10">
      <c r="A203" s="32" t="str">
        <f t="shared" si="6"/>
        <v>DM11288</v>
      </c>
      <c r="B203" s="152"/>
      <c r="C203" s="152"/>
      <c r="D203" s="149" t="s">
        <v>26</v>
      </c>
      <c r="E203" s="150"/>
      <c r="F203" s="149" t="s">
        <v>27</v>
      </c>
      <c r="G203" s="150"/>
      <c r="H203" s="155"/>
      <c r="I203" s="158"/>
      <c r="J203" s="6">
        <v>288</v>
      </c>
    </row>
    <row r="204" spans="1:10">
      <c r="A204" s="32" t="str">
        <f t="shared" si="6"/>
        <v>DM11289</v>
      </c>
      <c r="B204" s="152"/>
      <c r="C204" s="152"/>
      <c r="D204" s="149" t="s">
        <v>28</v>
      </c>
      <c r="E204" s="150"/>
      <c r="F204" s="149" t="s">
        <v>29</v>
      </c>
      <c r="G204" s="150"/>
      <c r="H204" s="155"/>
      <c r="I204" s="158"/>
      <c r="J204" s="6">
        <v>289</v>
      </c>
    </row>
    <row r="205" spans="1:10">
      <c r="A205" s="32" t="str">
        <f t="shared" si="6"/>
        <v>DM11290</v>
      </c>
      <c r="B205" s="152"/>
      <c r="C205" s="152"/>
      <c r="D205" s="149" t="s">
        <v>30</v>
      </c>
      <c r="E205" s="150"/>
      <c r="F205" s="149" t="s">
        <v>31</v>
      </c>
      <c r="G205" s="150"/>
      <c r="H205" s="155"/>
      <c r="I205" s="158"/>
      <c r="J205" s="6">
        <v>290</v>
      </c>
    </row>
    <row r="206" spans="1:10">
      <c r="A206" s="32" t="str">
        <f t="shared" si="6"/>
        <v>DM11291</v>
      </c>
      <c r="B206" s="152"/>
      <c r="C206" s="152"/>
      <c r="D206" s="149" t="s">
        <v>11</v>
      </c>
      <c r="E206" s="150"/>
      <c r="F206" s="149" t="s">
        <v>12</v>
      </c>
      <c r="G206" s="150"/>
      <c r="H206" s="155"/>
      <c r="I206" s="158"/>
      <c r="J206" s="6">
        <v>291</v>
      </c>
    </row>
    <row r="207" spans="1:10">
      <c r="A207" s="32" t="str">
        <f t="shared" si="6"/>
        <v>DM11292</v>
      </c>
      <c r="B207" s="152"/>
      <c r="C207" s="152"/>
      <c r="D207" s="149" t="s">
        <v>13</v>
      </c>
      <c r="E207" s="150"/>
      <c r="F207" s="149" t="s">
        <v>14</v>
      </c>
      <c r="G207" s="150"/>
      <c r="H207" s="155"/>
      <c r="I207" s="158"/>
      <c r="J207" s="6">
        <v>292</v>
      </c>
    </row>
    <row r="208" spans="1:10">
      <c r="A208" s="32" t="str">
        <f t="shared" si="6"/>
        <v>DM11293</v>
      </c>
      <c r="B208" s="152"/>
      <c r="C208" s="152"/>
      <c r="D208" s="149" t="s">
        <v>16</v>
      </c>
      <c r="E208" s="150"/>
      <c r="F208" s="149" t="s">
        <v>17</v>
      </c>
      <c r="G208" s="150"/>
      <c r="H208" s="155"/>
      <c r="I208" s="158"/>
      <c r="J208" s="6">
        <v>293</v>
      </c>
    </row>
    <row r="209" spans="1:10">
      <c r="A209" s="32" t="str">
        <f t="shared" si="6"/>
        <v>DM11294</v>
      </c>
      <c r="B209" s="152"/>
      <c r="C209" s="152"/>
      <c r="D209" s="149" t="s">
        <v>18</v>
      </c>
      <c r="E209" s="150"/>
      <c r="F209" s="149" t="s">
        <v>19</v>
      </c>
      <c r="G209" s="150"/>
      <c r="H209" s="155"/>
      <c r="I209" s="158"/>
      <c r="J209" s="6">
        <v>294</v>
      </c>
    </row>
    <row r="210" spans="1:10">
      <c r="A210" s="32" t="str">
        <f t="shared" si="6"/>
        <v>DM11295</v>
      </c>
      <c r="B210" s="152"/>
      <c r="C210" s="152"/>
      <c r="D210" s="149" t="s">
        <v>20</v>
      </c>
      <c r="E210" s="150"/>
      <c r="F210" s="149" t="s">
        <v>21</v>
      </c>
      <c r="G210" s="150"/>
      <c r="H210" s="155"/>
      <c r="I210" s="158"/>
      <c r="J210" s="6">
        <v>295</v>
      </c>
    </row>
    <row r="211" spans="1:10">
      <c r="A211" s="32" t="str">
        <f t="shared" si="6"/>
        <v>DM11296</v>
      </c>
      <c r="B211" s="153"/>
      <c r="C211" s="153"/>
      <c r="D211" s="149" t="s">
        <v>22</v>
      </c>
      <c r="E211" s="150"/>
      <c r="F211" s="149" t="s">
        <v>23</v>
      </c>
      <c r="G211" s="150"/>
      <c r="H211" s="156"/>
      <c r="I211" s="159"/>
      <c r="J211" s="6">
        <v>296</v>
      </c>
    </row>
    <row r="212" spans="1:10">
      <c r="A212" s="32" t="str">
        <f t="shared" si="6"/>
        <v>DM11297</v>
      </c>
      <c r="B212" s="151" t="s">
        <v>145</v>
      </c>
      <c r="C212" s="151" t="s">
        <v>116</v>
      </c>
      <c r="D212" s="149" t="s">
        <v>25</v>
      </c>
      <c r="E212" s="150"/>
      <c r="F212" s="149" t="s">
        <v>65</v>
      </c>
      <c r="G212" s="150"/>
      <c r="H212" s="154" t="s">
        <v>146</v>
      </c>
      <c r="I212" s="157" t="s">
        <v>64</v>
      </c>
      <c r="J212" s="6">
        <v>297</v>
      </c>
    </row>
    <row r="213" spans="1:10">
      <c r="A213" s="32" t="str">
        <f t="shared" si="6"/>
        <v>DM11298</v>
      </c>
      <c r="B213" s="152"/>
      <c r="C213" s="152"/>
      <c r="D213" s="149" t="s">
        <v>26</v>
      </c>
      <c r="E213" s="150"/>
      <c r="F213" s="149" t="s">
        <v>27</v>
      </c>
      <c r="G213" s="150"/>
      <c r="H213" s="155"/>
      <c r="I213" s="158"/>
      <c r="J213" s="6">
        <v>298</v>
      </c>
    </row>
    <row r="214" spans="1:10">
      <c r="A214" s="32" t="str">
        <f t="shared" si="6"/>
        <v>DM11299</v>
      </c>
      <c r="B214" s="152"/>
      <c r="C214" s="152"/>
      <c r="D214" s="149" t="s">
        <v>28</v>
      </c>
      <c r="E214" s="150"/>
      <c r="F214" s="149" t="s">
        <v>29</v>
      </c>
      <c r="G214" s="150"/>
      <c r="H214" s="155"/>
      <c r="I214" s="158"/>
      <c r="J214" s="6">
        <v>299</v>
      </c>
    </row>
    <row r="215" spans="1:10">
      <c r="A215" s="32" t="str">
        <f t="shared" si="6"/>
        <v>DM11300</v>
      </c>
      <c r="B215" s="152"/>
      <c r="C215" s="152"/>
      <c r="D215" s="149" t="s">
        <v>30</v>
      </c>
      <c r="E215" s="150"/>
      <c r="F215" s="149" t="s">
        <v>31</v>
      </c>
      <c r="G215" s="150"/>
      <c r="H215" s="155"/>
      <c r="I215" s="158"/>
      <c r="J215" s="6">
        <v>300</v>
      </c>
    </row>
    <row r="216" spans="1:10">
      <c r="A216" s="32" t="str">
        <f t="shared" si="6"/>
        <v>DM11301</v>
      </c>
      <c r="B216" s="152"/>
      <c r="C216" s="152"/>
      <c r="D216" s="149" t="s">
        <v>11</v>
      </c>
      <c r="E216" s="150"/>
      <c r="F216" s="149" t="s">
        <v>12</v>
      </c>
      <c r="G216" s="150"/>
      <c r="H216" s="155"/>
      <c r="I216" s="158"/>
      <c r="J216" s="6">
        <v>301</v>
      </c>
    </row>
    <row r="217" spans="1:10">
      <c r="A217" s="32" t="str">
        <f t="shared" si="6"/>
        <v>DM11302</v>
      </c>
      <c r="B217" s="152"/>
      <c r="C217" s="152"/>
      <c r="D217" s="149" t="s">
        <v>13</v>
      </c>
      <c r="E217" s="150"/>
      <c r="F217" s="149" t="s">
        <v>14</v>
      </c>
      <c r="G217" s="150"/>
      <c r="H217" s="155"/>
      <c r="I217" s="158"/>
      <c r="J217" s="6">
        <v>302</v>
      </c>
    </row>
    <row r="218" spans="1:10">
      <c r="A218" s="32" t="str">
        <f t="shared" si="6"/>
        <v>DM11303</v>
      </c>
      <c r="B218" s="152"/>
      <c r="C218" s="152"/>
      <c r="D218" s="149" t="s">
        <v>16</v>
      </c>
      <c r="E218" s="150"/>
      <c r="F218" s="149" t="s">
        <v>17</v>
      </c>
      <c r="G218" s="150"/>
      <c r="H218" s="155"/>
      <c r="I218" s="158"/>
      <c r="J218" s="6">
        <v>303</v>
      </c>
    </row>
    <row r="219" spans="1:10">
      <c r="A219" s="32" t="str">
        <f t="shared" si="6"/>
        <v>DM11304</v>
      </c>
      <c r="B219" s="152"/>
      <c r="C219" s="152"/>
      <c r="D219" s="149" t="s">
        <v>18</v>
      </c>
      <c r="E219" s="150"/>
      <c r="F219" s="149" t="s">
        <v>19</v>
      </c>
      <c r="G219" s="150"/>
      <c r="H219" s="155"/>
      <c r="I219" s="158"/>
      <c r="J219" s="6">
        <v>304</v>
      </c>
    </row>
    <row r="220" spans="1:10">
      <c r="A220" s="32" t="str">
        <f t="shared" si="6"/>
        <v>DM11305</v>
      </c>
      <c r="B220" s="152"/>
      <c r="C220" s="152"/>
      <c r="D220" s="149" t="s">
        <v>20</v>
      </c>
      <c r="E220" s="150"/>
      <c r="F220" s="149" t="s">
        <v>21</v>
      </c>
      <c r="G220" s="150"/>
      <c r="H220" s="155"/>
      <c r="I220" s="158"/>
      <c r="J220" s="6">
        <v>305</v>
      </c>
    </row>
    <row r="221" spans="1:10">
      <c r="A221" s="32" t="str">
        <f t="shared" si="6"/>
        <v>DM11306</v>
      </c>
      <c r="B221" s="153"/>
      <c r="C221" s="153"/>
      <c r="D221" s="149" t="s">
        <v>22</v>
      </c>
      <c r="E221" s="150"/>
      <c r="F221" s="149" t="s">
        <v>23</v>
      </c>
      <c r="G221" s="150"/>
      <c r="H221" s="156"/>
      <c r="I221" s="159"/>
      <c r="J221" s="6">
        <v>306</v>
      </c>
    </row>
    <row r="222" spans="1:10">
      <c r="A222" s="32" t="str">
        <f t="shared" si="6"/>
        <v>DM11307</v>
      </c>
      <c r="B222" s="151" t="s">
        <v>147</v>
      </c>
      <c r="C222" s="151" t="s">
        <v>116</v>
      </c>
      <c r="D222" s="149" t="s">
        <v>25</v>
      </c>
      <c r="E222" s="150"/>
      <c r="F222" s="149" t="s">
        <v>65</v>
      </c>
      <c r="G222" s="150"/>
      <c r="H222" s="154" t="s">
        <v>148</v>
      </c>
      <c r="I222" s="157" t="s">
        <v>64</v>
      </c>
      <c r="J222" s="6">
        <v>307</v>
      </c>
    </row>
    <row r="223" spans="1:10">
      <c r="A223" s="32" t="str">
        <f t="shared" si="6"/>
        <v>DM11308</v>
      </c>
      <c r="B223" s="152"/>
      <c r="C223" s="152"/>
      <c r="D223" s="149" t="s">
        <v>26</v>
      </c>
      <c r="E223" s="150"/>
      <c r="F223" s="149" t="s">
        <v>27</v>
      </c>
      <c r="G223" s="150"/>
      <c r="H223" s="155"/>
      <c r="I223" s="158"/>
      <c r="J223" s="6">
        <v>308</v>
      </c>
    </row>
    <row r="224" spans="1:10">
      <c r="A224" s="32" t="str">
        <f t="shared" si="6"/>
        <v>DM11309</v>
      </c>
      <c r="B224" s="152"/>
      <c r="C224" s="152"/>
      <c r="D224" s="149" t="s">
        <v>28</v>
      </c>
      <c r="E224" s="150"/>
      <c r="F224" s="149" t="s">
        <v>29</v>
      </c>
      <c r="G224" s="150"/>
      <c r="H224" s="155"/>
      <c r="I224" s="158"/>
      <c r="J224" s="6">
        <v>309</v>
      </c>
    </row>
    <row r="225" spans="1:10">
      <c r="A225" s="32" t="str">
        <f t="shared" si="6"/>
        <v>DM11310</v>
      </c>
      <c r="B225" s="152"/>
      <c r="C225" s="152"/>
      <c r="D225" s="149" t="s">
        <v>30</v>
      </c>
      <c r="E225" s="150"/>
      <c r="F225" s="149" t="s">
        <v>31</v>
      </c>
      <c r="G225" s="150"/>
      <c r="H225" s="155"/>
      <c r="I225" s="158"/>
      <c r="J225" s="6">
        <v>310</v>
      </c>
    </row>
    <row r="226" spans="1:10">
      <c r="A226" s="32" t="str">
        <f t="shared" si="6"/>
        <v>DM11311</v>
      </c>
      <c r="B226" s="152"/>
      <c r="C226" s="152"/>
      <c r="D226" s="149" t="s">
        <v>11</v>
      </c>
      <c r="E226" s="150"/>
      <c r="F226" s="149" t="s">
        <v>12</v>
      </c>
      <c r="G226" s="150"/>
      <c r="H226" s="155"/>
      <c r="I226" s="158"/>
      <c r="J226" s="6">
        <v>311</v>
      </c>
    </row>
    <row r="227" spans="1:10">
      <c r="A227" s="32" t="str">
        <f t="shared" si="6"/>
        <v>DM11312</v>
      </c>
      <c r="B227" s="152"/>
      <c r="C227" s="152"/>
      <c r="D227" s="149" t="s">
        <v>13</v>
      </c>
      <c r="E227" s="150"/>
      <c r="F227" s="149" t="s">
        <v>14</v>
      </c>
      <c r="G227" s="150"/>
      <c r="H227" s="155"/>
      <c r="I227" s="158"/>
      <c r="J227" s="6">
        <v>312</v>
      </c>
    </row>
    <row r="228" spans="1:10">
      <c r="A228" s="32" t="str">
        <f t="shared" si="6"/>
        <v>DM11313</v>
      </c>
      <c r="B228" s="152"/>
      <c r="C228" s="152"/>
      <c r="D228" s="149" t="s">
        <v>16</v>
      </c>
      <c r="E228" s="150"/>
      <c r="F228" s="149" t="s">
        <v>17</v>
      </c>
      <c r="G228" s="150"/>
      <c r="H228" s="155"/>
      <c r="I228" s="158"/>
      <c r="J228" s="6">
        <v>313</v>
      </c>
    </row>
    <row r="229" spans="1:10">
      <c r="A229" s="32" t="str">
        <f t="shared" si="6"/>
        <v>DM11314</v>
      </c>
      <c r="B229" s="152"/>
      <c r="C229" s="152"/>
      <c r="D229" s="149" t="s">
        <v>18</v>
      </c>
      <c r="E229" s="150"/>
      <c r="F229" s="149" t="s">
        <v>19</v>
      </c>
      <c r="G229" s="150"/>
      <c r="H229" s="155"/>
      <c r="I229" s="158"/>
      <c r="J229" s="6">
        <v>314</v>
      </c>
    </row>
    <row r="230" spans="1:10">
      <c r="A230" s="32" t="str">
        <f t="shared" si="6"/>
        <v>DM11315</v>
      </c>
      <c r="B230" s="152"/>
      <c r="C230" s="152"/>
      <c r="D230" s="149" t="s">
        <v>20</v>
      </c>
      <c r="E230" s="150"/>
      <c r="F230" s="149" t="s">
        <v>21</v>
      </c>
      <c r="G230" s="150"/>
      <c r="H230" s="155"/>
      <c r="I230" s="158"/>
      <c r="J230" s="6">
        <v>315</v>
      </c>
    </row>
    <row r="231" spans="1:10">
      <c r="A231" s="32" t="str">
        <f t="shared" si="6"/>
        <v>DM11316</v>
      </c>
      <c r="B231" s="153"/>
      <c r="C231" s="153"/>
      <c r="D231" s="149" t="s">
        <v>22</v>
      </c>
      <c r="E231" s="150"/>
      <c r="F231" s="149" t="s">
        <v>23</v>
      </c>
      <c r="G231" s="150"/>
      <c r="H231" s="156"/>
      <c r="I231" s="159"/>
      <c r="J231" s="6">
        <v>316</v>
      </c>
    </row>
    <row r="232" spans="1:10">
      <c r="A232" s="32" t="str">
        <f t="shared" si="6"/>
        <v>DM11317</v>
      </c>
      <c r="B232" s="41" t="s">
        <v>0</v>
      </c>
      <c r="C232" s="82"/>
      <c r="D232" s="76"/>
      <c r="E232" s="74"/>
      <c r="F232" s="74"/>
      <c r="G232" s="77"/>
      <c r="H232" s="75"/>
      <c r="I232" s="72"/>
      <c r="J232" s="6">
        <v>317</v>
      </c>
    </row>
    <row r="233" spans="1:10">
      <c r="A233" s="32" t="str">
        <f t="shared" si="6"/>
        <v>DM11318</v>
      </c>
      <c r="B233" s="41" t="s">
        <v>0</v>
      </c>
      <c r="C233" s="82"/>
      <c r="D233" s="76"/>
      <c r="E233" s="74"/>
      <c r="F233" s="74"/>
      <c r="G233" s="77"/>
      <c r="H233" s="75"/>
      <c r="I233" s="72"/>
      <c r="J233" s="6">
        <v>318</v>
      </c>
    </row>
    <row r="234" spans="1:10">
      <c r="A234" s="32" t="str">
        <f t="shared" si="6"/>
        <v>DM11319</v>
      </c>
      <c r="B234" s="41" t="s">
        <v>0</v>
      </c>
      <c r="C234" s="82"/>
      <c r="D234" s="76"/>
      <c r="E234" s="74"/>
      <c r="F234" s="74"/>
      <c r="G234" s="77"/>
      <c r="H234" s="75"/>
      <c r="I234" s="72"/>
      <c r="J234" s="6">
        <v>319</v>
      </c>
    </row>
    <row r="235" spans="1:10">
      <c r="A235" s="32" t="str">
        <f t="shared" si="6"/>
        <v>DM11320</v>
      </c>
      <c r="B235" s="41" t="s">
        <v>0</v>
      </c>
      <c r="C235" s="82"/>
      <c r="D235" s="76"/>
      <c r="E235" s="74"/>
      <c r="F235" s="74"/>
      <c r="G235" s="77"/>
      <c r="H235" s="75"/>
      <c r="I235" s="72"/>
      <c r="J235" s="6">
        <v>320</v>
      </c>
    </row>
    <row r="236" spans="1:10">
      <c r="A236" s="32" t="str">
        <f t="shared" si="6"/>
        <v>DM11321</v>
      </c>
      <c r="B236" s="41" t="s">
        <v>0</v>
      </c>
      <c r="C236" s="82"/>
      <c r="D236" s="76"/>
      <c r="E236" s="74"/>
      <c r="F236" s="74"/>
      <c r="G236" s="77"/>
      <c r="H236" s="75"/>
      <c r="I236" s="72"/>
      <c r="J236" s="6">
        <v>321</v>
      </c>
    </row>
    <row r="237" spans="1:10">
      <c r="A237" s="32" t="str">
        <f t="shared" si="6"/>
        <v>DM11322</v>
      </c>
      <c r="B237" s="41" t="s">
        <v>0</v>
      </c>
      <c r="C237" s="82"/>
      <c r="D237" s="76"/>
      <c r="E237" s="74"/>
      <c r="F237" s="74"/>
      <c r="G237" s="77"/>
      <c r="H237" s="75"/>
      <c r="I237" s="72"/>
      <c r="J237" s="6">
        <v>322</v>
      </c>
    </row>
    <row r="238" spans="1:10">
      <c r="A238" s="32" t="str">
        <f t="shared" si="6"/>
        <v>DM11323</v>
      </c>
      <c r="B238" s="41" t="s">
        <v>0</v>
      </c>
      <c r="C238" s="82"/>
      <c r="D238" s="76"/>
      <c r="E238" s="74"/>
      <c r="F238" s="74"/>
      <c r="G238" s="77"/>
      <c r="H238" s="75"/>
      <c r="I238" s="72"/>
      <c r="J238" s="6">
        <v>323</v>
      </c>
    </row>
    <row r="239" spans="1:10">
      <c r="A239" s="32" t="str">
        <f t="shared" si="6"/>
        <v>DM11324</v>
      </c>
      <c r="B239" s="41" t="s">
        <v>0</v>
      </c>
      <c r="C239" s="82"/>
      <c r="D239" s="76"/>
      <c r="E239" s="74"/>
      <c r="F239" s="74"/>
      <c r="G239" s="77"/>
      <c r="H239" s="75"/>
      <c r="I239" s="72"/>
      <c r="J239" s="6">
        <v>324</v>
      </c>
    </row>
    <row r="240" spans="1:10">
      <c r="A240" s="32" t="str">
        <f t="shared" si="6"/>
        <v>DM11325</v>
      </c>
      <c r="B240" s="41" t="s">
        <v>0</v>
      </c>
      <c r="C240" s="82"/>
      <c r="D240" s="76"/>
      <c r="E240" s="74"/>
      <c r="F240" s="74"/>
      <c r="G240" s="77"/>
      <c r="H240" s="75"/>
      <c r="I240" s="72"/>
      <c r="J240" s="6">
        <v>325</v>
      </c>
    </row>
    <row r="241" spans="1:10">
      <c r="A241" s="32" t="str">
        <f t="shared" si="6"/>
        <v>DM11326</v>
      </c>
      <c r="B241" s="41" t="s">
        <v>0</v>
      </c>
      <c r="C241" s="82"/>
      <c r="D241" s="76"/>
      <c r="E241" s="74"/>
      <c r="F241" s="74"/>
      <c r="G241" s="77"/>
      <c r="H241" s="75"/>
      <c r="I241" s="72"/>
      <c r="J241" s="6">
        <v>326</v>
      </c>
    </row>
    <row r="242" spans="1:10">
      <c r="A242" s="32" t="str">
        <f t="shared" si="6"/>
        <v>DM11327</v>
      </c>
      <c r="B242" s="41" t="s">
        <v>0</v>
      </c>
      <c r="C242" s="82"/>
      <c r="D242" s="76"/>
      <c r="E242" s="74"/>
      <c r="F242" s="74"/>
      <c r="G242" s="77"/>
      <c r="H242" s="75"/>
      <c r="I242" s="72"/>
      <c r="J242" s="6">
        <v>327</v>
      </c>
    </row>
    <row r="243" spans="1:10">
      <c r="A243" s="32" t="str">
        <f t="shared" si="6"/>
        <v>DM11328</v>
      </c>
      <c r="B243" s="41" t="s">
        <v>0</v>
      </c>
      <c r="C243" s="82"/>
      <c r="D243" s="76"/>
      <c r="E243" s="74"/>
      <c r="F243" s="74"/>
      <c r="G243" s="77"/>
      <c r="H243" s="75"/>
      <c r="I243" s="72"/>
      <c r="J243" s="6">
        <v>328</v>
      </c>
    </row>
    <row r="244" spans="1:10">
      <c r="A244" s="32" t="str">
        <f t="shared" si="6"/>
        <v>DM11329</v>
      </c>
      <c r="B244" s="41" t="s">
        <v>0</v>
      </c>
      <c r="C244" s="82"/>
      <c r="D244" s="76"/>
      <c r="E244" s="74"/>
      <c r="F244" s="74"/>
      <c r="G244" s="77"/>
      <c r="H244" s="75"/>
      <c r="I244" s="72"/>
      <c r="J244" s="6">
        <v>329</v>
      </c>
    </row>
    <row r="245" spans="1:10">
      <c r="A245" s="32" t="str">
        <f t="shared" si="6"/>
        <v>DM11330</v>
      </c>
      <c r="B245" s="41" t="s">
        <v>0</v>
      </c>
      <c r="C245" s="82"/>
      <c r="D245" s="76"/>
      <c r="E245" s="74"/>
      <c r="F245" s="74"/>
      <c r="G245" s="77"/>
      <c r="H245" s="75"/>
      <c r="I245" s="72"/>
      <c r="J245" s="6">
        <v>330</v>
      </c>
    </row>
    <row r="246" spans="1:10">
      <c r="A246" s="32" t="str">
        <f t="shared" si="6"/>
        <v>DM11331</v>
      </c>
      <c r="B246" s="41" t="s">
        <v>0</v>
      </c>
      <c r="C246" s="82"/>
      <c r="D246" s="76"/>
      <c r="E246" s="74"/>
      <c r="F246" s="74"/>
      <c r="G246" s="77"/>
      <c r="H246" s="75"/>
      <c r="I246" s="72"/>
      <c r="J246" s="6">
        <v>331</v>
      </c>
    </row>
    <row r="247" spans="1:10">
      <c r="A247" s="32" t="str">
        <f t="shared" si="6"/>
        <v>DM11332</v>
      </c>
      <c r="B247" s="41" t="s">
        <v>0</v>
      </c>
      <c r="C247" s="82"/>
      <c r="D247" s="76"/>
      <c r="E247" s="74"/>
      <c r="F247" s="74"/>
      <c r="G247" s="77"/>
      <c r="H247" s="75"/>
      <c r="I247" s="72"/>
      <c r="J247" s="6">
        <v>332</v>
      </c>
    </row>
    <row r="248" spans="1:10">
      <c r="A248" s="32" t="str">
        <f t="shared" si="6"/>
        <v>DM11333</v>
      </c>
      <c r="B248" s="41" t="s">
        <v>0</v>
      </c>
      <c r="C248" s="82"/>
      <c r="D248" s="76"/>
      <c r="E248" s="74"/>
      <c r="F248" s="74"/>
      <c r="G248" s="77"/>
      <c r="H248" s="75"/>
      <c r="I248" s="72"/>
      <c r="J248" s="6">
        <v>333</v>
      </c>
    </row>
    <row r="249" spans="1:10">
      <c r="A249" s="32" t="str">
        <f t="shared" si="6"/>
        <v>DM11334</v>
      </c>
      <c r="B249" s="41" t="s">
        <v>0</v>
      </c>
      <c r="C249" s="82"/>
      <c r="D249" s="76"/>
      <c r="E249" s="74"/>
      <c r="F249" s="74"/>
      <c r="G249" s="77"/>
      <c r="H249" s="75"/>
      <c r="I249" s="72"/>
      <c r="J249" s="6">
        <v>334</v>
      </c>
    </row>
    <row r="250" spans="1:10">
      <c r="A250" s="32" t="str">
        <f t="shared" si="6"/>
        <v>DM11335</v>
      </c>
      <c r="B250" s="41" t="s">
        <v>0</v>
      </c>
      <c r="C250" s="82"/>
      <c r="D250" s="76"/>
      <c r="E250" s="74"/>
      <c r="F250" s="74"/>
      <c r="G250" s="77"/>
      <c r="H250" s="75"/>
      <c r="I250" s="72"/>
      <c r="J250" s="6">
        <v>335</v>
      </c>
    </row>
    <row r="251" spans="1:10">
      <c r="A251" s="32" t="str">
        <f t="shared" si="6"/>
        <v>DM11336</v>
      </c>
      <c r="B251" s="41" t="s">
        <v>0</v>
      </c>
      <c r="C251" s="82"/>
      <c r="D251" s="76"/>
      <c r="E251" s="74"/>
      <c r="F251" s="74"/>
      <c r="G251" s="77"/>
      <c r="H251" s="75"/>
      <c r="I251" s="72"/>
      <c r="J251" s="6">
        <v>336</v>
      </c>
    </row>
    <row r="252" spans="1:10">
      <c r="A252" s="32" t="str">
        <f t="shared" si="6"/>
        <v>DM11337</v>
      </c>
      <c r="B252" s="41" t="s">
        <v>0</v>
      </c>
      <c r="C252" s="82"/>
      <c r="D252" s="76"/>
      <c r="E252" s="74"/>
      <c r="F252" s="74"/>
      <c r="G252" s="77"/>
      <c r="H252" s="75"/>
      <c r="I252" s="72"/>
      <c r="J252" s="6">
        <v>337</v>
      </c>
    </row>
    <row r="253" spans="1:10">
      <c r="A253" s="32" t="str">
        <f t="shared" si="6"/>
        <v>DM11338</v>
      </c>
      <c r="B253" s="41" t="s">
        <v>0</v>
      </c>
      <c r="C253" s="82"/>
      <c r="D253" s="76"/>
      <c r="E253" s="74"/>
      <c r="F253" s="74"/>
      <c r="G253" s="77"/>
      <c r="H253" s="75"/>
      <c r="I253" s="72"/>
      <c r="J253" s="6">
        <v>338</v>
      </c>
    </row>
    <row r="254" spans="1:10">
      <c r="A254" s="32" t="str">
        <f t="shared" si="6"/>
        <v>DM11339</v>
      </c>
      <c r="B254" s="41" t="s">
        <v>0</v>
      </c>
      <c r="C254" s="82"/>
      <c r="D254" s="76"/>
      <c r="E254" s="74"/>
      <c r="F254" s="74"/>
      <c r="G254" s="77"/>
      <c r="H254" s="75"/>
      <c r="I254" s="72"/>
      <c r="J254" s="6">
        <v>339</v>
      </c>
    </row>
    <row r="255" spans="1:10">
      <c r="A255" s="32" t="str">
        <f t="shared" si="6"/>
        <v>DM11340</v>
      </c>
      <c r="B255" s="41" t="s">
        <v>0</v>
      </c>
      <c r="C255" s="82"/>
      <c r="D255" s="76"/>
      <c r="E255" s="74"/>
      <c r="F255" s="74"/>
      <c r="G255" s="77"/>
      <c r="H255" s="75"/>
      <c r="I255" s="72"/>
      <c r="J255" s="6">
        <v>340</v>
      </c>
    </row>
    <row r="256" spans="1:10">
      <c r="A256" s="32" t="str">
        <f t="shared" si="6"/>
        <v>DM11341</v>
      </c>
      <c r="B256" s="41" t="s">
        <v>0</v>
      </c>
      <c r="C256" s="82"/>
      <c r="D256" s="76"/>
      <c r="E256" s="74"/>
      <c r="F256" s="74"/>
      <c r="G256" s="77"/>
      <c r="H256" s="75"/>
      <c r="I256" s="72"/>
      <c r="J256" s="6">
        <v>341</v>
      </c>
    </row>
    <row r="257" spans="1:10">
      <c r="A257" s="32" t="str">
        <f t="shared" si="6"/>
        <v>DM11342</v>
      </c>
      <c r="B257" s="41" t="s">
        <v>0</v>
      </c>
      <c r="C257" s="82"/>
      <c r="D257" s="76"/>
      <c r="E257" s="74"/>
      <c r="F257" s="74"/>
      <c r="G257" s="77"/>
      <c r="H257" s="75"/>
      <c r="I257" s="72"/>
      <c r="J257" s="6">
        <v>342</v>
      </c>
    </row>
    <row r="258" spans="1:10">
      <c r="A258" s="32" t="str">
        <f t="shared" si="6"/>
        <v>DM11343</v>
      </c>
      <c r="B258" s="41" t="s">
        <v>0</v>
      </c>
      <c r="C258" s="82"/>
      <c r="D258" s="76"/>
      <c r="E258" s="74"/>
      <c r="F258" s="74"/>
      <c r="G258" s="77"/>
      <c r="H258" s="75"/>
      <c r="I258" s="72"/>
      <c r="J258" s="6">
        <v>343</v>
      </c>
    </row>
    <row r="259" spans="1:10">
      <c r="A259" s="32" t="str">
        <f t="shared" si="6"/>
        <v>DM11344</v>
      </c>
      <c r="B259" s="41" t="s">
        <v>0</v>
      </c>
      <c r="C259" s="82"/>
      <c r="D259" s="76"/>
      <c r="E259" s="74"/>
      <c r="F259" s="74"/>
      <c r="G259" s="77"/>
      <c r="H259" s="75"/>
      <c r="I259" s="72"/>
      <c r="J259" s="6">
        <v>344</v>
      </c>
    </row>
    <row r="260" spans="1:10">
      <c r="A260" s="32" t="str">
        <f t="shared" si="6"/>
        <v>DM11345</v>
      </c>
      <c r="B260" s="41" t="s">
        <v>0</v>
      </c>
      <c r="C260" s="82"/>
      <c r="D260" s="76"/>
      <c r="E260" s="74"/>
      <c r="F260" s="74"/>
      <c r="G260" s="77"/>
      <c r="H260" s="75"/>
      <c r="I260" s="72"/>
      <c r="J260" s="6">
        <v>345</v>
      </c>
    </row>
    <row r="261" spans="1:10">
      <c r="A261" s="32" t="str">
        <f t="shared" si="6"/>
        <v>DM11346</v>
      </c>
      <c r="B261" s="41" t="s">
        <v>0</v>
      </c>
      <c r="C261" s="82"/>
      <c r="D261" s="76"/>
      <c r="E261" s="74"/>
      <c r="F261" s="74"/>
      <c r="G261" s="77"/>
      <c r="H261" s="75"/>
      <c r="I261" s="72"/>
      <c r="J261" s="6">
        <v>346</v>
      </c>
    </row>
    <row r="262" spans="1:10">
      <c r="A262" s="32" t="str">
        <f t="shared" ref="A262:A264" si="7">LEFT($C$3, 2) &amp; (MID($C$3, 3, LEN($C$3)) + J262)</f>
        <v>DM11347</v>
      </c>
      <c r="B262" s="41" t="s">
        <v>0</v>
      </c>
      <c r="C262" s="82"/>
      <c r="D262" s="76"/>
      <c r="E262" s="74"/>
      <c r="F262" s="74"/>
      <c r="G262" s="77"/>
      <c r="H262" s="75"/>
      <c r="I262" s="72"/>
      <c r="J262" s="6">
        <v>347</v>
      </c>
    </row>
    <row r="263" spans="1:10">
      <c r="A263" s="32" t="str">
        <f t="shared" si="7"/>
        <v>DM11348</v>
      </c>
      <c r="B263" s="41" t="s">
        <v>0</v>
      </c>
      <c r="C263" s="82"/>
      <c r="D263" s="76"/>
      <c r="E263" s="74"/>
      <c r="F263" s="74"/>
      <c r="G263" s="77"/>
      <c r="H263" s="75"/>
      <c r="I263" s="72"/>
      <c r="J263" s="6">
        <v>348</v>
      </c>
    </row>
    <row r="264" spans="1:10" ht="15.75" thickBot="1">
      <c r="A264" s="32" t="str">
        <f t="shared" si="7"/>
        <v>DM11349</v>
      </c>
      <c r="B264" s="41" t="s">
        <v>0</v>
      </c>
      <c r="C264" s="82"/>
      <c r="D264" s="76"/>
      <c r="E264" s="74"/>
      <c r="F264" s="74"/>
      <c r="G264" s="77"/>
      <c r="H264" s="75"/>
      <c r="I264" s="72"/>
      <c r="J264" s="6">
        <v>349</v>
      </c>
    </row>
    <row r="265" spans="1:10" ht="15.6" customHeight="1">
      <c r="A265" s="134" t="s">
        <v>153</v>
      </c>
      <c r="B265" s="135"/>
      <c r="C265" s="135"/>
      <c r="D265" s="135"/>
      <c r="E265" s="135"/>
      <c r="F265" s="135"/>
      <c r="G265" s="135"/>
      <c r="H265" s="135"/>
      <c r="I265" s="136"/>
    </row>
    <row r="266" spans="1:10" ht="15.6" customHeight="1">
      <c r="A266" s="32" t="str">
        <f t="shared" ref="A266:A282" si="8">LEFT($C$3, 2) &amp; (MID($C$3, 3, LEN($C$3)) + J266)</f>
        <v>DM11350</v>
      </c>
      <c r="B266" s="151" t="s">
        <v>59</v>
      </c>
      <c r="C266" s="151" t="s">
        <v>58</v>
      </c>
      <c r="D266" s="149" t="s">
        <v>25</v>
      </c>
      <c r="E266" s="150"/>
      <c r="F266" s="149" t="s">
        <v>65</v>
      </c>
      <c r="G266" s="150"/>
      <c r="H266" s="154" t="s">
        <v>60</v>
      </c>
      <c r="I266" s="157" t="s">
        <v>82</v>
      </c>
      <c r="J266" s="6">
        <v>350</v>
      </c>
    </row>
    <row r="267" spans="1:10" ht="15.6" customHeight="1">
      <c r="A267" s="32" t="str">
        <f t="shared" si="8"/>
        <v>DM11351</v>
      </c>
      <c r="B267" s="152"/>
      <c r="C267" s="152"/>
      <c r="D267" s="149" t="s">
        <v>26</v>
      </c>
      <c r="E267" s="150"/>
      <c r="F267" s="149" t="s">
        <v>27</v>
      </c>
      <c r="G267" s="150"/>
      <c r="H267" s="155"/>
      <c r="I267" s="158"/>
      <c r="J267" s="6">
        <v>351</v>
      </c>
    </row>
    <row r="268" spans="1:10" ht="15.75" customHeight="1">
      <c r="A268" s="32" t="str">
        <f t="shared" si="8"/>
        <v>DM11352</v>
      </c>
      <c r="B268" s="153"/>
      <c r="C268" s="152"/>
      <c r="D268" s="149" t="s">
        <v>28</v>
      </c>
      <c r="E268" s="150"/>
      <c r="F268" s="149" t="s">
        <v>29</v>
      </c>
      <c r="G268" s="150"/>
      <c r="H268" s="155"/>
      <c r="I268" s="158"/>
      <c r="J268" s="6">
        <v>352</v>
      </c>
    </row>
    <row r="269" spans="1:10" ht="15.75" customHeight="1">
      <c r="A269" s="32" t="str">
        <f t="shared" si="8"/>
        <v>DM11353</v>
      </c>
      <c r="B269" s="151" t="s">
        <v>61</v>
      </c>
      <c r="C269" s="151" t="s">
        <v>81</v>
      </c>
      <c r="D269" s="160" t="s">
        <v>67</v>
      </c>
      <c r="E269" s="161"/>
      <c r="F269" s="162" t="s">
        <v>66</v>
      </c>
      <c r="G269" s="163"/>
      <c r="H269" s="154" t="s">
        <v>62</v>
      </c>
      <c r="I269" s="157" t="s">
        <v>63</v>
      </c>
      <c r="J269" s="6">
        <v>353</v>
      </c>
    </row>
    <row r="270" spans="1:10" ht="16.5" customHeight="1">
      <c r="A270" s="32" t="str">
        <f t="shared" si="8"/>
        <v>DM11354</v>
      </c>
      <c r="B270" s="152"/>
      <c r="C270" s="152"/>
      <c r="D270" s="160" t="s">
        <v>69</v>
      </c>
      <c r="E270" s="161"/>
      <c r="F270" s="162" t="s">
        <v>68</v>
      </c>
      <c r="G270" s="163"/>
      <c r="H270" s="155"/>
      <c r="I270" s="158"/>
      <c r="J270" s="6">
        <v>354</v>
      </c>
    </row>
    <row r="271" spans="1:10" ht="16.5" customHeight="1">
      <c r="A271" s="32" t="str">
        <f t="shared" si="8"/>
        <v>DM11355</v>
      </c>
      <c r="B271" s="152"/>
      <c r="C271" s="152"/>
      <c r="D271" s="160" t="s">
        <v>71</v>
      </c>
      <c r="E271" s="161"/>
      <c r="F271" s="162" t="s">
        <v>70</v>
      </c>
      <c r="G271" s="163"/>
      <c r="H271" s="155"/>
      <c r="I271" s="158"/>
      <c r="J271" s="6">
        <v>355</v>
      </c>
    </row>
    <row r="272" spans="1:10" ht="16.5" customHeight="1">
      <c r="A272" s="32" t="str">
        <f t="shared" si="8"/>
        <v>DM11356</v>
      </c>
      <c r="B272" s="152"/>
      <c r="C272" s="152"/>
      <c r="D272" s="160" t="s">
        <v>73</v>
      </c>
      <c r="E272" s="161"/>
      <c r="F272" s="162" t="s">
        <v>72</v>
      </c>
      <c r="G272" s="163"/>
      <c r="H272" s="155"/>
      <c r="I272" s="158"/>
      <c r="J272" s="6">
        <v>356</v>
      </c>
    </row>
    <row r="273" spans="1:10" ht="16.149999999999999" customHeight="1">
      <c r="A273" s="32" t="str">
        <f t="shared" si="8"/>
        <v>DM11357</v>
      </c>
      <c r="B273" s="152"/>
      <c r="C273" s="152"/>
      <c r="D273" s="160" t="s">
        <v>77</v>
      </c>
      <c r="E273" s="161"/>
      <c r="F273" s="162" t="s">
        <v>74</v>
      </c>
      <c r="G273" s="163"/>
      <c r="H273" s="155"/>
      <c r="I273" s="158"/>
      <c r="J273" s="6">
        <v>357</v>
      </c>
    </row>
    <row r="274" spans="1:10" ht="15.6" customHeight="1">
      <c r="A274" s="32" t="str">
        <f t="shared" si="8"/>
        <v>DM11358</v>
      </c>
      <c r="B274" s="152"/>
      <c r="C274" s="152"/>
      <c r="D274" s="160" t="s">
        <v>78</v>
      </c>
      <c r="E274" s="161"/>
      <c r="F274" s="162" t="s">
        <v>75</v>
      </c>
      <c r="G274" s="163"/>
      <c r="H274" s="155"/>
      <c r="I274" s="158"/>
      <c r="J274" s="6">
        <v>358</v>
      </c>
    </row>
    <row r="275" spans="1:10" ht="15.6" customHeight="1">
      <c r="A275" s="32" t="str">
        <f t="shared" si="8"/>
        <v>DM11359</v>
      </c>
      <c r="B275" s="153"/>
      <c r="C275" s="153"/>
      <c r="D275" s="160" t="s">
        <v>79</v>
      </c>
      <c r="E275" s="161"/>
      <c r="F275" s="162" t="s">
        <v>76</v>
      </c>
      <c r="G275" s="163"/>
      <c r="H275" s="156"/>
      <c r="I275" s="159"/>
      <c r="J275" s="6">
        <v>359</v>
      </c>
    </row>
    <row r="276" spans="1:10" ht="15" customHeight="1">
      <c r="A276" s="32" t="str">
        <f t="shared" si="8"/>
        <v>DM11360</v>
      </c>
      <c r="B276" s="69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111" t="s">
        <v>253</v>
      </c>
      <c r="H276" s="70" t="s">
        <v>157</v>
      </c>
      <c r="I276" s="71" t="s">
        <v>156</v>
      </c>
      <c r="J276" s="6">
        <v>360</v>
      </c>
    </row>
    <row r="277" spans="1:10" ht="15.75" customHeight="1">
      <c r="A277" s="32" t="str">
        <f t="shared" si="8"/>
        <v>DM11361</v>
      </c>
      <c r="B277" s="69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111" t="s">
        <v>253</v>
      </c>
      <c r="H277" s="70" t="s">
        <v>158</v>
      </c>
      <c r="I277" s="71" t="s">
        <v>156</v>
      </c>
      <c r="J277" s="6">
        <v>361</v>
      </c>
    </row>
    <row r="278" spans="1:10" ht="15.75" customHeight="1">
      <c r="A278" s="32" t="str">
        <f t="shared" si="8"/>
        <v>DM11362</v>
      </c>
      <c r="B278" s="164" t="s">
        <v>160</v>
      </c>
      <c r="C278" s="164" t="s">
        <v>58</v>
      </c>
      <c r="D278" s="165" t="s">
        <v>25</v>
      </c>
      <c r="E278" s="165"/>
      <c r="F278" s="165" t="s">
        <v>65</v>
      </c>
      <c r="G278" s="165"/>
      <c r="H278" s="166" t="s">
        <v>161</v>
      </c>
      <c r="I278" s="167" t="s">
        <v>162</v>
      </c>
      <c r="J278" s="6">
        <v>362</v>
      </c>
    </row>
    <row r="279" spans="1:10" ht="16.5" customHeight="1">
      <c r="A279" s="32" t="str">
        <f t="shared" si="8"/>
        <v>DM11363</v>
      </c>
      <c r="B279" s="164"/>
      <c r="C279" s="164"/>
      <c r="D279" s="165" t="s">
        <v>26</v>
      </c>
      <c r="E279" s="165"/>
      <c r="F279" s="165" t="s">
        <v>27</v>
      </c>
      <c r="G279" s="165"/>
      <c r="H279" s="166"/>
      <c r="I279" s="167"/>
      <c r="J279" s="6">
        <v>363</v>
      </c>
    </row>
    <row r="280" spans="1:10" ht="16.5" customHeight="1">
      <c r="A280" s="32" t="str">
        <f t="shared" si="8"/>
        <v>DM11364</v>
      </c>
      <c r="B280" s="41" t="s">
        <v>0</v>
      </c>
      <c r="C280" s="82"/>
      <c r="D280" s="76"/>
      <c r="E280" s="74"/>
      <c r="F280" s="74"/>
      <c r="G280" s="77"/>
      <c r="H280" s="75"/>
      <c r="I280" s="72"/>
      <c r="J280" s="6">
        <v>364</v>
      </c>
    </row>
    <row r="281" spans="1:10" ht="16.5" customHeight="1">
      <c r="A281" s="32" t="str">
        <f t="shared" si="8"/>
        <v>DM11365</v>
      </c>
      <c r="B281" s="41" t="s">
        <v>0</v>
      </c>
      <c r="C281" s="82"/>
      <c r="D281" s="76"/>
      <c r="E281" s="74"/>
      <c r="F281" s="74"/>
      <c r="G281" s="77"/>
      <c r="H281" s="75"/>
      <c r="I281" s="72"/>
      <c r="J281" s="6">
        <v>365</v>
      </c>
    </row>
    <row r="282" spans="1:10" ht="16.5" customHeight="1">
      <c r="A282" s="32" t="str">
        <f t="shared" si="8"/>
        <v>DM11366</v>
      </c>
      <c r="B282" s="41" t="s">
        <v>0</v>
      </c>
      <c r="C282" s="82"/>
      <c r="D282" s="76"/>
      <c r="E282" s="74"/>
      <c r="F282" s="74"/>
      <c r="G282" s="77"/>
      <c r="H282" s="75"/>
      <c r="I282" s="72"/>
      <c r="J282" s="6">
        <v>366</v>
      </c>
    </row>
    <row r="283" spans="1:10" ht="16.5" customHeight="1">
      <c r="A283" s="32" t="str">
        <f t="shared" ref="A283:A291" si="9">LEFT($C$3, 2) &amp; (MID($C$3, 3, LEN($C$3)) + J283)</f>
        <v>DM11367</v>
      </c>
      <c r="B283" s="41" t="s">
        <v>0</v>
      </c>
      <c r="C283" s="82"/>
      <c r="D283" s="76"/>
      <c r="E283" s="74"/>
      <c r="F283" s="74"/>
      <c r="G283" s="77"/>
      <c r="H283" s="75"/>
      <c r="I283" s="72"/>
      <c r="J283" s="6">
        <v>367</v>
      </c>
    </row>
    <row r="284" spans="1:10" ht="16.5" customHeight="1">
      <c r="A284" s="32" t="str">
        <f t="shared" si="9"/>
        <v>DM11368</v>
      </c>
      <c r="B284" s="41" t="s">
        <v>0</v>
      </c>
      <c r="C284" s="82"/>
      <c r="D284" s="76"/>
      <c r="E284" s="74"/>
      <c r="F284" s="74"/>
      <c r="G284" s="77"/>
      <c r="H284" s="75"/>
      <c r="I284" s="72"/>
      <c r="J284" s="6">
        <v>368</v>
      </c>
    </row>
    <row r="285" spans="1:10">
      <c r="A285" s="32" t="str">
        <f t="shared" si="9"/>
        <v>DM11369</v>
      </c>
      <c r="B285" s="41" t="s">
        <v>0</v>
      </c>
      <c r="C285" s="82"/>
      <c r="D285" s="76"/>
      <c r="E285" s="74"/>
      <c r="F285" s="74"/>
      <c r="G285" s="77"/>
      <c r="H285" s="75"/>
      <c r="I285" s="72"/>
      <c r="J285" s="6">
        <v>369</v>
      </c>
    </row>
    <row r="286" spans="1:10">
      <c r="A286" s="32" t="str">
        <f t="shared" si="9"/>
        <v>DM11370</v>
      </c>
      <c r="B286" s="41" t="s">
        <v>0</v>
      </c>
      <c r="C286" s="82"/>
      <c r="D286" s="76"/>
      <c r="E286" s="74"/>
      <c r="F286" s="74"/>
      <c r="G286" s="77"/>
      <c r="H286" s="75"/>
      <c r="I286" s="72"/>
      <c r="J286" s="6">
        <v>370</v>
      </c>
    </row>
    <row r="287" spans="1:10">
      <c r="A287" s="32" t="str">
        <f t="shared" si="9"/>
        <v>DM11371</v>
      </c>
      <c r="B287" s="69" t="s">
        <v>114</v>
      </c>
      <c r="C287" s="68" t="s">
        <v>116</v>
      </c>
      <c r="D287" s="83">
        <v>0</v>
      </c>
      <c r="E287" s="83">
        <v>0</v>
      </c>
      <c r="F287" s="83">
        <v>0</v>
      </c>
      <c r="G287" s="68" t="s">
        <v>253</v>
      </c>
      <c r="H287" s="78" t="s">
        <v>159</v>
      </c>
      <c r="I287" s="79" t="s">
        <v>156</v>
      </c>
      <c r="J287" s="6">
        <v>371</v>
      </c>
    </row>
    <row r="288" spans="1:10" ht="15" customHeight="1">
      <c r="A288" s="32" t="str">
        <f t="shared" si="9"/>
        <v>DM11372</v>
      </c>
      <c r="B288" s="91" t="s">
        <v>191</v>
      </c>
      <c r="C288" s="99" t="s">
        <v>116</v>
      </c>
      <c r="D288" s="61">
        <v>0</v>
      </c>
      <c r="E288" s="61">
        <v>0</v>
      </c>
      <c r="F288" s="96" t="s">
        <v>195</v>
      </c>
      <c r="G288" s="96" t="s">
        <v>195</v>
      </c>
      <c r="H288" s="97" t="s">
        <v>196</v>
      </c>
      <c r="I288" s="98" t="s">
        <v>197</v>
      </c>
      <c r="J288" s="6">
        <v>372</v>
      </c>
    </row>
    <row r="289" spans="1:10" ht="15" customHeight="1">
      <c r="A289" s="32" t="str">
        <f t="shared" si="9"/>
        <v>DM11373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9"/>
        <v>DM11374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9"/>
        <v>DM11375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ref="A292:A295" si="10">LEFT($C$3, 2) &amp; (MID($C$3, 3, LEN($C$3)) + J292)</f>
        <v>DM11376</v>
      </c>
      <c r="B292" s="41" t="s">
        <v>0</v>
      </c>
      <c r="C292" s="82"/>
      <c r="D292" s="76"/>
      <c r="E292" s="74"/>
      <c r="F292" s="74"/>
      <c r="G292" s="77"/>
      <c r="H292" s="75"/>
      <c r="I292" s="72"/>
      <c r="J292" s="6">
        <v>376</v>
      </c>
    </row>
    <row r="293" spans="1:10">
      <c r="A293" s="32" t="str">
        <f t="shared" si="10"/>
        <v>DM11377</v>
      </c>
      <c r="B293" s="41" t="s">
        <v>0</v>
      </c>
      <c r="C293" s="82"/>
      <c r="D293" s="76"/>
      <c r="E293" s="74"/>
      <c r="F293" s="74"/>
      <c r="G293" s="77"/>
      <c r="H293" s="75"/>
      <c r="I293" s="72"/>
      <c r="J293" s="6">
        <v>377</v>
      </c>
    </row>
    <row r="294" spans="1:10">
      <c r="A294" s="32" t="str">
        <f t="shared" si="10"/>
        <v>DM11378</v>
      </c>
      <c r="B294" s="41" t="s">
        <v>0</v>
      </c>
      <c r="C294" s="82"/>
      <c r="D294" s="76"/>
      <c r="E294" s="74"/>
      <c r="F294" s="74"/>
      <c r="G294" s="77"/>
      <c r="H294" s="75"/>
      <c r="I294" s="72"/>
      <c r="J294" s="6">
        <v>378</v>
      </c>
    </row>
    <row r="295" spans="1:10" ht="15.75" thickBot="1">
      <c r="A295" s="32" t="str">
        <f t="shared" si="10"/>
        <v>DM11379</v>
      </c>
      <c r="B295" s="41" t="s">
        <v>0</v>
      </c>
      <c r="C295" s="82"/>
      <c r="D295" s="76"/>
      <c r="E295" s="74"/>
      <c r="F295" s="74"/>
      <c r="G295" s="77"/>
      <c r="H295" s="75"/>
      <c r="I295" s="72"/>
      <c r="J295" s="6">
        <v>379</v>
      </c>
    </row>
    <row r="296" spans="1:10" ht="15.6" customHeight="1">
      <c r="A296" s="134" t="s">
        <v>163</v>
      </c>
      <c r="B296" s="135"/>
      <c r="C296" s="135"/>
      <c r="D296" s="135"/>
      <c r="E296" s="135"/>
      <c r="F296" s="135"/>
      <c r="G296" s="135"/>
      <c r="H296" s="135"/>
      <c r="I296" s="136"/>
    </row>
    <row r="297" spans="1:10" ht="15" customHeight="1">
      <c r="A297" s="32" t="str">
        <f t="shared" ref="A297:A311" si="11">LEFT($C$3, 2) &amp; (MID($C$3, 3, LEN($C$3)) + J297)</f>
        <v>DM11380</v>
      </c>
      <c r="B297" s="151" t="s">
        <v>59</v>
      </c>
      <c r="C297" s="151" t="s">
        <v>58</v>
      </c>
      <c r="D297" s="149" t="s">
        <v>25</v>
      </c>
      <c r="E297" s="150"/>
      <c r="F297" s="149" t="s">
        <v>65</v>
      </c>
      <c r="G297" s="150"/>
      <c r="H297" s="154" t="s">
        <v>60</v>
      </c>
      <c r="I297" s="157" t="s">
        <v>82</v>
      </c>
      <c r="J297" s="6">
        <v>380</v>
      </c>
    </row>
    <row r="298" spans="1:10" ht="15" customHeight="1">
      <c r="A298" s="32" t="str">
        <f t="shared" si="11"/>
        <v>DM11381</v>
      </c>
      <c r="B298" s="152"/>
      <c r="C298" s="152"/>
      <c r="D298" s="149" t="s">
        <v>26</v>
      </c>
      <c r="E298" s="150"/>
      <c r="F298" s="149" t="s">
        <v>27</v>
      </c>
      <c r="G298" s="150"/>
      <c r="H298" s="155"/>
      <c r="I298" s="158"/>
      <c r="J298" s="6">
        <v>381</v>
      </c>
    </row>
    <row r="299" spans="1:10" ht="15" customHeight="1">
      <c r="A299" s="32" t="str">
        <f t="shared" si="11"/>
        <v>DM11382</v>
      </c>
      <c r="B299" s="153"/>
      <c r="C299" s="152"/>
      <c r="D299" s="149" t="s">
        <v>28</v>
      </c>
      <c r="E299" s="150"/>
      <c r="F299" s="149" t="s">
        <v>29</v>
      </c>
      <c r="G299" s="150"/>
      <c r="H299" s="155"/>
      <c r="I299" s="158"/>
      <c r="J299" s="6">
        <v>382</v>
      </c>
    </row>
    <row r="300" spans="1:10">
      <c r="A300" s="32" t="str">
        <f t="shared" si="11"/>
        <v>DM11383</v>
      </c>
      <c r="B300" s="151" t="s">
        <v>61</v>
      </c>
      <c r="C300" s="151" t="s">
        <v>81</v>
      </c>
      <c r="D300" s="160" t="s">
        <v>67</v>
      </c>
      <c r="E300" s="161"/>
      <c r="F300" s="162" t="s">
        <v>66</v>
      </c>
      <c r="G300" s="163"/>
      <c r="H300" s="154" t="s">
        <v>62</v>
      </c>
      <c r="I300" s="157" t="s">
        <v>63</v>
      </c>
      <c r="J300" s="6">
        <v>383</v>
      </c>
    </row>
    <row r="301" spans="1:10">
      <c r="A301" s="32" t="str">
        <f t="shared" si="11"/>
        <v>DM11384</v>
      </c>
      <c r="B301" s="152"/>
      <c r="C301" s="152"/>
      <c r="D301" s="160" t="s">
        <v>69</v>
      </c>
      <c r="E301" s="161"/>
      <c r="F301" s="162" t="s">
        <v>68</v>
      </c>
      <c r="G301" s="163"/>
      <c r="H301" s="155"/>
      <c r="I301" s="158"/>
      <c r="J301" s="6">
        <v>384</v>
      </c>
    </row>
    <row r="302" spans="1:10">
      <c r="A302" s="32" t="str">
        <f t="shared" si="11"/>
        <v>DM11385</v>
      </c>
      <c r="B302" s="152"/>
      <c r="C302" s="152"/>
      <c r="D302" s="160" t="s">
        <v>71</v>
      </c>
      <c r="E302" s="161"/>
      <c r="F302" s="162" t="s">
        <v>70</v>
      </c>
      <c r="G302" s="163"/>
      <c r="H302" s="155"/>
      <c r="I302" s="158"/>
      <c r="J302" s="6">
        <v>385</v>
      </c>
    </row>
    <row r="303" spans="1:10">
      <c r="A303" s="32" t="str">
        <f t="shared" si="11"/>
        <v>DM11386</v>
      </c>
      <c r="B303" s="152"/>
      <c r="C303" s="152"/>
      <c r="D303" s="160" t="s">
        <v>73</v>
      </c>
      <c r="E303" s="161"/>
      <c r="F303" s="162" t="s">
        <v>72</v>
      </c>
      <c r="G303" s="163"/>
      <c r="H303" s="155"/>
      <c r="I303" s="158"/>
      <c r="J303" s="6">
        <v>386</v>
      </c>
    </row>
    <row r="304" spans="1:10">
      <c r="A304" s="32" t="str">
        <f t="shared" si="11"/>
        <v>DM11387</v>
      </c>
      <c r="B304" s="152"/>
      <c r="C304" s="152"/>
      <c r="D304" s="160" t="s">
        <v>77</v>
      </c>
      <c r="E304" s="161"/>
      <c r="F304" s="162" t="s">
        <v>74</v>
      </c>
      <c r="G304" s="163"/>
      <c r="H304" s="155"/>
      <c r="I304" s="158"/>
      <c r="J304" s="6">
        <v>387</v>
      </c>
    </row>
    <row r="305" spans="1:10">
      <c r="A305" s="32" t="str">
        <f t="shared" si="11"/>
        <v>DM11388</v>
      </c>
      <c r="B305" s="152"/>
      <c r="C305" s="152"/>
      <c r="D305" s="160" t="s">
        <v>78</v>
      </c>
      <c r="E305" s="161"/>
      <c r="F305" s="162" t="s">
        <v>75</v>
      </c>
      <c r="G305" s="163"/>
      <c r="H305" s="155"/>
      <c r="I305" s="158"/>
      <c r="J305" s="6">
        <v>388</v>
      </c>
    </row>
    <row r="306" spans="1:10">
      <c r="A306" s="32" t="str">
        <f t="shared" si="11"/>
        <v>DM11389</v>
      </c>
      <c r="B306" s="153"/>
      <c r="C306" s="153"/>
      <c r="D306" s="160" t="s">
        <v>79</v>
      </c>
      <c r="E306" s="161"/>
      <c r="F306" s="162" t="s">
        <v>76</v>
      </c>
      <c r="G306" s="163"/>
      <c r="H306" s="156"/>
      <c r="I306" s="159"/>
      <c r="J306" s="6">
        <v>389</v>
      </c>
    </row>
    <row r="307" spans="1:10">
      <c r="A307" s="32" t="str">
        <f t="shared" si="11"/>
        <v>DM11390</v>
      </c>
      <c r="B307" s="79" t="s">
        <v>164</v>
      </c>
      <c r="C307" s="68" t="s">
        <v>81</v>
      </c>
      <c r="D307" s="83">
        <v>0</v>
      </c>
      <c r="E307" s="83">
        <v>0</v>
      </c>
      <c r="F307" s="83">
        <v>0</v>
      </c>
      <c r="G307" s="68" t="s">
        <v>54</v>
      </c>
      <c r="H307" s="79" t="s">
        <v>165</v>
      </c>
      <c r="I307" s="79" t="s">
        <v>166</v>
      </c>
      <c r="J307" s="6">
        <v>390</v>
      </c>
    </row>
    <row r="308" spans="1:10">
      <c r="A308" s="32" t="str">
        <f t="shared" si="11"/>
        <v>DM11391</v>
      </c>
      <c r="B308" s="79" t="s">
        <v>167</v>
      </c>
      <c r="C308" s="68" t="s">
        <v>81</v>
      </c>
      <c r="D308" s="83">
        <v>0</v>
      </c>
      <c r="E308" s="83">
        <v>0</v>
      </c>
      <c r="F308" s="83">
        <v>0</v>
      </c>
      <c r="G308" s="68" t="s">
        <v>54</v>
      </c>
      <c r="H308" s="79" t="s">
        <v>168</v>
      </c>
      <c r="I308" s="79" t="s">
        <v>166</v>
      </c>
      <c r="J308" s="6">
        <v>391</v>
      </c>
    </row>
    <row r="309" spans="1:10">
      <c r="A309" s="32" t="str">
        <f t="shared" si="11"/>
        <v>DM11392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11"/>
        <v>DM11393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11"/>
        <v>DM11394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ref="A312:A316" si="12">LEFT($C$3, 2) &amp; (MID($C$3, 3, LEN($C$3)) + J312)</f>
        <v>DM11395</v>
      </c>
      <c r="B312" s="69" t="s">
        <v>114</v>
      </c>
      <c r="C312" s="68" t="s">
        <v>116</v>
      </c>
      <c r="D312" s="83">
        <v>0</v>
      </c>
      <c r="E312" s="83">
        <v>0</v>
      </c>
      <c r="F312" s="83">
        <v>0</v>
      </c>
      <c r="G312" s="68" t="s">
        <v>253</v>
      </c>
      <c r="H312" s="78" t="s">
        <v>159</v>
      </c>
      <c r="I312" s="79" t="s">
        <v>156</v>
      </c>
      <c r="J312" s="6">
        <v>395</v>
      </c>
    </row>
    <row r="313" spans="1:10" ht="15" customHeight="1">
      <c r="A313" s="32" t="str">
        <f t="shared" si="12"/>
        <v>DM11396</v>
      </c>
      <c r="B313" s="91" t="s">
        <v>191</v>
      </c>
      <c r="C313" s="99" t="s">
        <v>116</v>
      </c>
      <c r="D313" s="61">
        <v>0</v>
      </c>
      <c r="E313" s="61">
        <v>0</v>
      </c>
      <c r="F313" s="96" t="s">
        <v>195</v>
      </c>
      <c r="G313" s="96" t="s">
        <v>195</v>
      </c>
      <c r="H313" s="97" t="s">
        <v>196</v>
      </c>
      <c r="I313" s="98" t="s">
        <v>197</v>
      </c>
      <c r="J313" s="6">
        <v>396</v>
      </c>
    </row>
    <row r="314" spans="1:10" ht="15" customHeight="1">
      <c r="A314" s="32" t="str">
        <f t="shared" si="12"/>
        <v>DM11397</v>
      </c>
      <c r="B314" s="35" t="s">
        <v>0</v>
      </c>
      <c r="C314" s="64"/>
      <c r="D314" s="47"/>
      <c r="E314" s="48"/>
      <c r="F314" s="48"/>
      <c r="G314" s="49"/>
      <c r="H314" s="34"/>
      <c r="I314" s="33"/>
      <c r="J314" s="6">
        <v>397</v>
      </c>
    </row>
    <row r="315" spans="1:10" ht="15" customHeight="1">
      <c r="A315" s="32" t="str">
        <f t="shared" si="12"/>
        <v>DM11398</v>
      </c>
      <c r="B315" s="35" t="s">
        <v>0</v>
      </c>
      <c r="C315" s="64"/>
      <c r="D315" s="47"/>
      <c r="E315" s="48"/>
      <c r="F315" s="48"/>
      <c r="G315" s="49"/>
      <c r="H315" s="34"/>
      <c r="I315" s="33"/>
      <c r="J315" s="6">
        <v>398</v>
      </c>
    </row>
    <row r="316" spans="1:10" ht="15" customHeight="1" thickBot="1">
      <c r="A316" s="32" t="str">
        <f t="shared" si="12"/>
        <v>DM11399</v>
      </c>
      <c r="B316" s="35" t="s">
        <v>0</v>
      </c>
      <c r="C316" s="64"/>
      <c r="D316" s="47"/>
      <c r="E316" s="48"/>
      <c r="F316" s="48"/>
      <c r="G316" s="49"/>
      <c r="H316" s="34"/>
      <c r="I316" s="33"/>
      <c r="J316" s="6">
        <v>399</v>
      </c>
    </row>
    <row r="317" spans="1:10" ht="15.6" customHeight="1">
      <c r="A317" s="134" t="s">
        <v>169</v>
      </c>
      <c r="B317" s="135"/>
      <c r="C317" s="135"/>
      <c r="D317" s="135"/>
      <c r="E317" s="135"/>
      <c r="F317" s="135"/>
      <c r="G317" s="135"/>
      <c r="H317" s="135"/>
      <c r="I317" s="136"/>
      <c r="J317" s="108"/>
    </row>
    <row r="318" spans="1:10" ht="15" customHeight="1">
      <c r="A318" s="32" t="str">
        <f t="shared" ref="A318:A349" si="13">LEFT($C$3, 2) &amp; (MID($C$3, 3, LEN($C$3)) + J318)</f>
        <v>DM11400</v>
      </c>
      <c r="B318" s="151" t="s">
        <v>59</v>
      </c>
      <c r="C318" s="151" t="s">
        <v>58</v>
      </c>
      <c r="D318" s="149" t="s">
        <v>25</v>
      </c>
      <c r="E318" s="150"/>
      <c r="F318" s="149" t="s">
        <v>65</v>
      </c>
      <c r="G318" s="150"/>
      <c r="H318" s="154" t="s">
        <v>60</v>
      </c>
      <c r="I318" s="157" t="s">
        <v>82</v>
      </c>
      <c r="J318" s="108">
        <v>400</v>
      </c>
    </row>
    <row r="319" spans="1:10" ht="15" customHeight="1">
      <c r="A319" s="32" t="str">
        <f t="shared" si="13"/>
        <v>DM11401</v>
      </c>
      <c r="B319" s="152"/>
      <c r="C319" s="152"/>
      <c r="D319" s="149" t="s">
        <v>26</v>
      </c>
      <c r="E319" s="150"/>
      <c r="F319" s="149" t="s">
        <v>27</v>
      </c>
      <c r="G319" s="150"/>
      <c r="H319" s="155"/>
      <c r="I319" s="158"/>
      <c r="J319" s="108">
        <v>401</v>
      </c>
    </row>
    <row r="320" spans="1:10" ht="15" customHeight="1">
      <c r="A320" s="32" t="str">
        <f t="shared" si="13"/>
        <v>DM11402</v>
      </c>
      <c r="B320" s="153"/>
      <c r="C320" s="152"/>
      <c r="D320" s="149" t="s">
        <v>28</v>
      </c>
      <c r="E320" s="150"/>
      <c r="F320" s="149" t="s">
        <v>29</v>
      </c>
      <c r="G320" s="150"/>
      <c r="H320" s="155"/>
      <c r="I320" s="158"/>
      <c r="J320" s="108">
        <v>402</v>
      </c>
    </row>
    <row r="321" spans="1:10">
      <c r="A321" s="32" t="str">
        <f t="shared" si="13"/>
        <v>DM11403</v>
      </c>
      <c r="B321" s="151" t="s">
        <v>61</v>
      </c>
      <c r="C321" s="151" t="s">
        <v>81</v>
      </c>
      <c r="D321" s="160" t="s">
        <v>67</v>
      </c>
      <c r="E321" s="161"/>
      <c r="F321" s="162" t="s">
        <v>66</v>
      </c>
      <c r="G321" s="163"/>
      <c r="H321" s="154" t="s">
        <v>62</v>
      </c>
      <c r="I321" s="157" t="s">
        <v>63</v>
      </c>
      <c r="J321" s="108">
        <v>403</v>
      </c>
    </row>
    <row r="322" spans="1:10">
      <c r="A322" s="32" t="str">
        <f t="shared" si="13"/>
        <v>DM11404</v>
      </c>
      <c r="B322" s="152"/>
      <c r="C322" s="152"/>
      <c r="D322" s="160" t="s">
        <v>69</v>
      </c>
      <c r="E322" s="161"/>
      <c r="F322" s="162" t="s">
        <v>68</v>
      </c>
      <c r="G322" s="163"/>
      <c r="H322" s="155"/>
      <c r="I322" s="158"/>
      <c r="J322" s="108">
        <v>404</v>
      </c>
    </row>
    <row r="323" spans="1:10">
      <c r="A323" s="32" t="str">
        <f t="shared" si="13"/>
        <v>DM11405</v>
      </c>
      <c r="B323" s="152"/>
      <c r="C323" s="152"/>
      <c r="D323" s="160" t="s">
        <v>71</v>
      </c>
      <c r="E323" s="161"/>
      <c r="F323" s="162" t="s">
        <v>70</v>
      </c>
      <c r="G323" s="163"/>
      <c r="H323" s="155"/>
      <c r="I323" s="158"/>
      <c r="J323" s="108">
        <v>405</v>
      </c>
    </row>
    <row r="324" spans="1:10">
      <c r="A324" s="32" t="str">
        <f t="shared" si="13"/>
        <v>DM11406</v>
      </c>
      <c r="B324" s="152"/>
      <c r="C324" s="152"/>
      <c r="D324" s="160" t="s">
        <v>73</v>
      </c>
      <c r="E324" s="161"/>
      <c r="F324" s="162" t="s">
        <v>72</v>
      </c>
      <c r="G324" s="163"/>
      <c r="H324" s="155"/>
      <c r="I324" s="158"/>
      <c r="J324" s="108">
        <v>406</v>
      </c>
    </row>
    <row r="325" spans="1:10">
      <c r="A325" s="32" t="str">
        <f t="shared" si="13"/>
        <v>DM11407</v>
      </c>
      <c r="B325" s="152"/>
      <c r="C325" s="152"/>
      <c r="D325" s="160" t="s">
        <v>77</v>
      </c>
      <c r="E325" s="161"/>
      <c r="F325" s="162" t="s">
        <v>74</v>
      </c>
      <c r="G325" s="163"/>
      <c r="H325" s="155"/>
      <c r="I325" s="158"/>
      <c r="J325" s="108">
        <v>407</v>
      </c>
    </row>
    <row r="326" spans="1:10">
      <c r="A326" s="32" t="str">
        <f t="shared" si="13"/>
        <v>DM11408</v>
      </c>
      <c r="B326" s="152"/>
      <c r="C326" s="152"/>
      <c r="D326" s="160" t="s">
        <v>78</v>
      </c>
      <c r="E326" s="161"/>
      <c r="F326" s="162" t="s">
        <v>75</v>
      </c>
      <c r="G326" s="163"/>
      <c r="H326" s="155"/>
      <c r="I326" s="158"/>
      <c r="J326" s="108">
        <v>408</v>
      </c>
    </row>
    <row r="327" spans="1:10">
      <c r="A327" s="32" t="str">
        <f t="shared" si="13"/>
        <v>DM11409</v>
      </c>
      <c r="B327" s="153"/>
      <c r="C327" s="153"/>
      <c r="D327" s="160" t="s">
        <v>79</v>
      </c>
      <c r="E327" s="161"/>
      <c r="F327" s="162" t="s">
        <v>76</v>
      </c>
      <c r="G327" s="163"/>
      <c r="H327" s="156"/>
      <c r="I327" s="159"/>
      <c r="J327" s="108">
        <v>409</v>
      </c>
    </row>
    <row r="328" spans="1:10" ht="15" customHeight="1">
      <c r="A328" s="32" t="str">
        <f t="shared" si="13"/>
        <v>DM11410</v>
      </c>
      <c r="B328" s="151" t="s">
        <v>121</v>
      </c>
      <c r="C328" s="151" t="s">
        <v>58</v>
      </c>
      <c r="D328" s="149" t="s">
        <v>25</v>
      </c>
      <c r="E328" s="150"/>
      <c r="F328" s="149" t="s">
        <v>65</v>
      </c>
      <c r="G328" s="150"/>
      <c r="H328" s="154" t="s">
        <v>1</v>
      </c>
      <c r="I328" s="157" t="s">
        <v>64</v>
      </c>
      <c r="J328" s="108">
        <v>410</v>
      </c>
    </row>
    <row r="329" spans="1:10" ht="15" customHeight="1">
      <c r="A329" s="32" t="str">
        <f t="shared" si="13"/>
        <v>DM11411</v>
      </c>
      <c r="B329" s="152"/>
      <c r="C329" s="152"/>
      <c r="D329" s="149" t="s">
        <v>26</v>
      </c>
      <c r="E329" s="150"/>
      <c r="F329" s="149" t="s">
        <v>27</v>
      </c>
      <c r="G329" s="150"/>
      <c r="H329" s="155"/>
      <c r="I329" s="158"/>
      <c r="J329" s="108">
        <v>411</v>
      </c>
    </row>
    <row r="330" spans="1:10" ht="15" customHeight="1">
      <c r="A330" s="32" t="str">
        <f t="shared" si="13"/>
        <v>DM11412</v>
      </c>
      <c r="B330" s="152"/>
      <c r="C330" s="152"/>
      <c r="D330" s="149" t="s">
        <v>28</v>
      </c>
      <c r="E330" s="150"/>
      <c r="F330" s="149" t="s">
        <v>29</v>
      </c>
      <c r="G330" s="150"/>
      <c r="H330" s="155"/>
      <c r="I330" s="158"/>
      <c r="J330" s="108">
        <v>412</v>
      </c>
    </row>
    <row r="331" spans="1:10" ht="15" customHeight="1">
      <c r="A331" s="32" t="str">
        <f t="shared" si="13"/>
        <v>DM11413</v>
      </c>
      <c r="B331" s="152"/>
      <c r="C331" s="152"/>
      <c r="D331" s="149" t="s">
        <v>30</v>
      </c>
      <c r="E331" s="150"/>
      <c r="F331" s="149" t="s">
        <v>31</v>
      </c>
      <c r="G331" s="150"/>
      <c r="H331" s="155"/>
      <c r="I331" s="158"/>
      <c r="J331" s="108">
        <v>413</v>
      </c>
    </row>
    <row r="332" spans="1:10" ht="15" customHeight="1">
      <c r="A332" s="32" t="str">
        <f t="shared" si="13"/>
        <v>DM11414</v>
      </c>
      <c r="B332" s="152"/>
      <c r="C332" s="152"/>
      <c r="D332" s="149" t="s">
        <v>11</v>
      </c>
      <c r="E332" s="150"/>
      <c r="F332" s="149" t="s">
        <v>12</v>
      </c>
      <c r="G332" s="150"/>
      <c r="H332" s="155"/>
      <c r="I332" s="158"/>
      <c r="J332" s="108">
        <v>414</v>
      </c>
    </row>
    <row r="333" spans="1:10" ht="15" customHeight="1">
      <c r="A333" s="32" t="str">
        <f t="shared" si="13"/>
        <v>DM11415</v>
      </c>
      <c r="B333" s="152"/>
      <c r="C333" s="152"/>
      <c r="D333" s="149" t="s">
        <v>13</v>
      </c>
      <c r="E333" s="150"/>
      <c r="F333" s="149" t="s">
        <v>14</v>
      </c>
      <c r="G333" s="150"/>
      <c r="H333" s="155"/>
      <c r="I333" s="158"/>
      <c r="J333" s="108">
        <v>415</v>
      </c>
    </row>
    <row r="334" spans="1:10" ht="15" customHeight="1">
      <c r="A334" s="32" t="str">
        <f t="shared" si="13"/>
        <v>DM11416</v>
      </c>
      <c r="B334" s="152"/>
      <c r="C334" s="152"/>
      <c r="D334" s="149" t="s">
        <v>16</v>
      </c>
      <c r="E334" s="150"/>
      <c r="F334" s="149" t="s">
        <v>17</v>
      </c>
      <c r="G334" s="150"/>
      <c r="H334" s="155"/>
      <c r="I334" s="158"/>
      <c r="J334" s="108">
        <v>416</v>
      </c>
    </row>
    <row r="335" spans="1:10" ht="15" customHeight="1">
      <c r="A335" s="32" t="str">
        <f t="shared" si="13"/>
        <v>DM11417</v>
      </c>
      <c r="B335" s="152"/>
      <c r="C335" s="152"/>
      <c r="D335" s="149" t="s">
        <v>18</v>
      </c>
      <c r="E335" s="150"/>
      <c r="F335" s="149" t="s">
        <v>19</v>
      </c>
      <c r="G335" s="150"/>
      <c r="H335" s="155"/>
      <c r="I335" s="158"/>
      <c r="J335" s="108">
        <v>417</v>
      </c>
    </row>
    <row r="336" spans="1:10" ht="15" customHeight="1">
      <c r="A336" s="32" t="str">
        <f t="shared" si="13"/>
        <v>DM11418</v>
      </c>
      <c r="B336" s="152"/>
      <c r="C336" s="152"/>
      <c r="D336" s="149" t="s">
        <v>20</v>
      </c>
      <c r="E336" s="150"/>
      <c r="F336" s="149" t="s">
        <v>21</v>
      </c>
      <c r="G336" s="150"/>
      <c r="H336" s="155"/>
      <c r="I336" s="158"/>
      <c r="J336" s="108">
        <v>418</v>
      </c>
    </row>
    <row r="337" spans="1:10" ht="15" customHeight="1">
      <c r="A337" s="32" t="str">
        <f t="shared" si="13"/>
        <v>DM11419</v>
      </c>
      <c r="B337" s="153"/>
      <c r="C337" s="153"/>
      <c r="D337" s="149" t="s">
        <v>22</v>
      </c>
      <c r="E337" s="150"/>
      <c r="F337" s="149" t="s">
        <v>23</v>
      </c>
      <c r="G337" s="150"/>
      <c r="H337" s="156"/>
      <c r="I337" s="159"/>
      <c r="J337" s="108">
        <v>419</v>
      </c>
    </row>
    <row r="338" spans="1:10" ht="15" customHeight="1">
      <c r="A338" s="32" t="str">
        <f t="shared" si="13"/>
        <v>DM11420</v>
      </c>
      <c r="B338" s="151" t="s">
        <v>170</v>
      </c>
      <c r="C338" s="151" t="s">
        <v>81</v>
      </c>
      <c r="D338" s="149" t="s">
        <v>25</v>
      </c>
      <c r="E338" s="150"/>
      <c r="F338" s="149" t="s">
        <v>65</v>
      </c>
      <c r="G338" s="150"/>
      <c r="H338" s="154" t="s">
        <v>171</v>
      </c>
      <c r="I338" s="157" t="s">
        <v>64</v>
      </c>
      <c r="J338" s="108">
        <v>420</v>
      </c>
    </row>
    <row r="339" spans="1:10" ht="15" customHeight="1">
      <c r="A339" s="32" t="str">
        <f t="shared" si="13"/>
        <v>DM11421</v>
      </c>
      <c r="B339" s="152"/>
      <c r="C339" s="152"/>
      <c r="D339" s="149" t="s">
        <v>26</v>
      </c>
      <c r="E339" s="150"/>
      <c r="F339" s="149" t="s">
        <v>27</v>
      </c>
      <c r="G339" s="150"/>
      <c r="H339" s="155"/>
      <c r="I339" s="158"/>
      <c r="J339" s="108">
        <v>421</v>
      </c>
    </row>
    <row r="340" spans="1:10" ht="15" customHeight="1">
      <c r="A340" s="32" t="str">
        <f t="shared" si="13"/>
        <v>DM11422</v>
      </c>
      <c r="B340" s="152"/>
      <c r="C340" s="152"/>
      <c r="D340" s="149" t="s">
        <v>28</v>
      </c>
      <c r="E340" s="150"/>
      <c r="F340" s="149" t="s">
        <v>29</v>
      </c>
      <c r="G340" s="150"/>
      <c r="H340" s="155"/>
      <c r="I340" s="158"/>
      <c r="J340" s="108">
        <v>422</v>
      </c>
    </row>
    <row r="341" spans="1:10" ht="15" customHeight="1">
      <c r="A341" s="32" t="str">
        <f t="shared" si="13"/>
        <v>DM11423</v>
      </c>
      <c r="B341" s="152"/>
      <c r="C341" s="152"/>
      <c r="D341" s="149" t="s">
        <v>30</v>
      </c>
      <c r="E341" s="150"/>
      <c r="F341" s="149" t="s">
        <v>31</v>
      </c>
      <c r="G341" s="150"/>
      <c r="H341" s="155"/>
      <c r="I341" s="158"/>
      <c r="J341" s="108">
        <v>423</v>
      </c>
    </row>
    <row r="342" spans="1:10">
      <c r="A342" s="32" t="str">
        <f t="shared" si="13"/>
        <v>DM11424</v>
      </c>
      <c r="B342" s="152"/>
      <c r="C342" s="152"/>
      <c r="D342" s="149" t="s">
        <v>11</v>
      </c>
      <c r="E342" s="150"/>
      <c r="F342" s="149" t="s">
        <v>12</v>
      </c>
      <c r="G342" s="150"/>
      <c r="H342" s="155"/>
      <c r="I342" s="158"/>
      <c r="J342" s="108">
        <v>424</v>
      </c>
    </row>
    <row r="343" spans="1:10">
      <c r="A343" s="32" t="str">
        <f t="shared" si="13"/>
        <v>DM11425</v>
      </c>
      <c r="B343" s="152"/>
      <c r="C343" s="152"/>
      <c r="D343" s="149" t="s">
        <v>13</v>
      </c>
      <c r="E343" s="150"/>
      <c r="F343" s="149" t="s">
        <v>14</v>
      </c>
      <c r="G343" s="150"/>
      <c r="H343" s="155"/>
      <c r="I343" s="158"/>
      <c r="J343" s="108">
        <v>425</v>
      </c>
    </row>
    <row r="344" spans="1:10">
      <c r="A344" s="32" t="str">
        <f t="shared" si="13"/>
        <v>DM11426</v>
      </c>
      <c r="B344" s="152"/>
      <c r="C344" s="152"/>
      <c r="D344" s="149" t="s">
        <v>16</v>
      </c>
      <c r="E344" s="150"/>
      <c r="F344" s="149" t="s">
        <v>17</v>
      </c>
      <c r="G344" s="150"/>
      <c r="H344" s="155"/>
      <c r="I344" s="158"/>
      <c r="J344" s="108">
        <v>426</v>
      </c>
    </row>
    <row r="345" spans="1:10">
      <c r="A345" s="32" t="str">
        <f t="shared" si="13"/>
        <v>DM11427</v>
      </c>
      <c r="B345" s="152"/>
      <c r="C345" s="152"/>
      <c r="D345" s="149" t="s">
        <v>18</v>
      </c>
      <c r="E345" s="150"/>
      <c r="F345" s="149" t="s">
        <v>19</v>
      </c>
      <c r="G345" s="150"/>
      <c r="H345" s="155"/>
      <c r="I345" s="158"/>
      <c r="J345" s="108">
        <v>427</v>
      </c>
    </row>
    <row r="346" spans="1:10">
      <c r="A346" s="32" t="str">
        <f t="shared" si="13"/>
        <v>DM11428</v>
      </c>
      <c r="B346" s="152"/>
      <c r="C346" s="152"/>
      <c r="D346" s="149" t="s">
        <v>20</v>
      </c>
      <c r="E346" s="150"/>
      <c r="F346" s="149" t="s">
        <v>21</v>
      </c>
      <c r="G346" s="150"/>
      <c r="H346" s="155"/>
      <c r="I346" s="158"/>
      <c r="J346" s="108">
        <v>428</v>
      </c>
    </row>
    <row r="347" spans="1:10">
      <c r="A347" s="32" t="str">
        <f t="shared" si="13"/>
        <v>DM11429</v>
      </c>
      <c r="B347" s="153"/>
      <c r="C347" s="153"/>
      <c r="D347" s="149" t="s">
        <v>22</v>
      </c>
      <c r="E347" s="150"/>
      <c r="F347" s="149" t="s">
        <v>23</v>
      </c>
      <c r="G347" s="150"/>
      <c r="H347" s="156"/>
      <c r="I347" s="159"/>
      <c r="J347" s="108">
        <v>429</v>
      </c>
    </row>
    <row r="348" spans="1:10" ht="30">
      <c r="A348" s="32" t="str">
        <f t="shared" si="13"/>
        <v>DM11430</v>
      </c>
      <c r="B348" s="79" t="s">
        <v>172</v>
      </c>
      <c r="C348" s="68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79" t="s">
        <v>174</v>
      </c>
      <c r="I348" s="79" t="s">
        <v>173</v>
      </c>
      <c r="J348" s="108">
        <v>430</v>
      </c>
    </row>
    <row r="349" spans="1:10">
      <c r="A349" s="32" t="str">
        <f t="shared" si="13"/>
        <v>DM11431</v>
      </c>
      <c r="B349" s="35" t="s">
        <v>0</v>
      </c>
      <c r="C349" s="64"/>
      <c r="D349" s="47"/>
      <c r="E349" s="48"/>
      <c r="F349" s="48"/>
      <c r="G349" s="49"/>
      <c r="H349" s="34"/>
      <c r="I349" s="33"/>
      <c r="J349" s="108">
        <v>431</v>
      </c>
    </row>
    <row r="350" spans="1:10">
      <c r="A350" s="32" t="str">
        <f t="shared" ref="A350:A357" si="14">LEFT($C$3, 2) &amp; (MID($C$3, 3, LEN($C$3)) + J350)</f>
        <v>DM11432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14"/>
        <v>DM11433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14"/>
        <v>DM11434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14"/>
        <v>DM11435</v>
      </c>
      <c r="B353" s="69" t="s">
        <v>114</v>
      </c>
      <c r="C353" s="68" t="s">
        <v>116</v>
      </c>
      <c r="D353" s="83">
        <v>0</v>
      </c>
      <c r="E353" s="83">
        <v>0</v>
      </c>
      <c r="F353" s="83">
        <v>0</v>
      </c>
      <c r="G353" s="68" t="s">
        <v>253</v>
      </c>
      <c r="H353" s="78" t="s">
        <v>159</v>
      </c>
      <c r="I353" s="79" t="s">
        <v>156</v>
      </c>
      <c r="J353" s="108">
        <v>435</v>
      </c>
    </row>
    <row r="354" spans="1:10" ht="15" customHeight="1">
      <c r="A354" s="32" t="str">
        <f t="shared" si="14"/>
        <v>DM11436</v>
      </c>
      <c r="B354" s="91" t="s">
        <v>191</v>
      </c>
      <c r="C354" s="99" t="s">
        <v>116</v>
      </c>
      <c r="D354" s="61">
        <v>0</v>
      </c>
      <c r="E354" s="61">
        <v>0</v>
      </c>
      <c r="F354" s="96" t="s">
        <v>195</v>
      </c>
      <c r="G354" s="96" t="s">
        <v>195</v>
      </c>
      <c r="H354" s="97" t="s">
        <v>196</v>
      </c>
      <c r="I354" s="98" t="s">
        <v>197</v>
      </c>
      <c r="J354" s="108">
        <v>436</v>
      </c>
    </row>
    <row r="355" spans="1:10" ht="15" customHeight="1">
      <c r="A355" s="32" t="str">
        <f t="shared" si="14"/>
        <v>DM11437</v>
      </c>
      <c r="B355" s="35" t="s">
        <v>0</v>
      </c>
      <c r="C355" s="64"/>
      <c r="D355" s="47"/>
      <c r="E355" s="48"/>
      <c r="F355" s="48"/>
      <c r="G355" s="49"/>
      <c r="H355" s="34"/>
      <c r="I355" s="33"/>
      <c r="J355" s="108">
        <v>437</v>
      </c>
    </row>
    <row r="356" spans="1:10" ht="15" customHeight="1">
      <c r="A356" s="32" t="str">
        <f t="shared" si="14"/>
        <v>DM11438</v>
      </c>
      <c r="B356" s="35" t="s">
        <v>0</v>
      </c>
      <c r="C356" s="64"/>
      <c r="D356" s="47"/>
      <c r="E356" s="48"/>
      <c r="F356" s="48"/>
      <c r="G356" s="49"/>
      <c r="H356" s="34"/>
      <c r="I356" s="33"/>
      <c r="J356" s="108">
        <v>438</v>
      </c>
    </row>
    <row r="357" spans="1:10" ht="15" customHeight="1" thickBot="1">
      <c r="A357" s="32" t="str">
        <f t="shared" si="14"/>
        <v>DM11439</v>
      </c>
      <c r="B357" s="35" t="s">
        <v>0</v>
      </c>
      <c r="C357" s="64"/>
      <c r="D357" s="47"/>
      <c r="E357" s="48"/>
      <c r="F357" s="48"/>
      <c r="G357" s="49"/>
      <c r="H357" s="34"/>
      <c r="I357" s="33"/>
      <c r="J357" s="108">
        <v>439</v>
      </c>
    </row>
    <row r="358" spans="1:10" ht="15.6" customHeight="1">
      <c r="A358" s="134" t="s">
        <v>177</v>
      </c>
      <c r="B358" s="135"/>
      <c r="C358" s="135"/>
      <c r="D358" s="135"/>
      <c r="E358" s="135"/>
      <c r="F358" s="135"/>
      <c r="G358" s="135"/>
      <c r="H358" s="135"/>
      <c r="I358" s="136"/>
      <c r="J358" s="108"/>
    </row>
    <row r="359" spans="1:10" ht="15" customHeight="1">
      <c r="A359" s="32" t="str">
        <f t="shared" ref="A359:A388" si="15">LEFT($C$3, 2) &amp; (MID($C$3, 3, LEN($C$3)) + J359)</f>
        <v>DM11440</v>
      </c>
      <c r="B359" s="164" t="s">
        <v>59</v>
      </c>
      <c r="C359" s="164" t="s">
        <v>116</v>
      </c>
      <c r="D359" s="165" t="s">
        <v>25</v>
      </c>
      <c r="E359" s="165"/>
      <c r="F359" s="165" t="s">
        <v>65</v>
      </c>
      <c r="G359" s="165"/>
      <c r="H359" s="166" t="s">
        <v>60</v>
      </c>
      <c r="I359" s="167" t="s">
        <v>82</v>
      </c>
      <c r="J359" s="108">
        <v>440</v>
      </c>
    </row>
    <row r="360" spans="1:10" ht="15" customHeight="1">
      <c r="A360" s="32" t="str">
        <f t="shared" si="15"/>
        <v>DM11441</v>
      </c>
      <c r="B360" s="164"/>
      <c r="C360" s="164"/>
      <c r="D360" s="165" t="s">
        <v>26</v>
      </c>
      <c r="E360" s="165"/>
      <c r="F360" s="165" t="s">
        <v>27</v>
      </c>
      <c r="G360" s="165"/>
      <c r="H360" s="166"/>
      <c r="I360" s="167"/>
      <c r="J360" s="108">
        <v>441</v>
      </c>
    </row>
    <row r="361" spans="1:10" ht="15" customHeight="1">
      <c r="A361" s="32" t="str">
        <f t="shared" si="15"/>
        <v>DM11442</v>
      </c>
      <c r="B361" s="164"/>
      <c r="C361" s="164"/>
      <c r="D361" s="165" t="s">
        <v>28</v>
      </c>
      <c r="E361" s="165"/>
      <c r="F361" s="165" t="s">
        <v>29</v>
      </c>
      <c r="G361" s="165"/>
      <c r="H361" s="166"/>
      <c r="I361" s="167"/>
      <c r="J361" s="108">
        <v>442</v>
      </c>
    </row>
    <row r="362" spans="1:10">
      <c r="A362" s="32" t="str">
        <f t="shared" si="15"/>
        <v>DM11443</v>
      </c>
      <c r="B362" s="151" t="s">
        <v>61</v>
      </c>
      <c r="C362" s="151" t="s">
        <v>116</v>
      </c>
      <c r="D362" s="160" t="s">
        <v>67</v>
      </c>
      <c r="E362" s="161"/>
      <c r="F362" s="162" t="s">
        <v>66</v>
      </c>
      <c r="G362" s="163"/>
      <c r="H362" s="154" t="s">
        <v>62</v>
      </c>
      <c r="I362" s="157" t="s">
        <v>63</v>
      </c>
      <c r="J362" s="108">
        <v>443</v>
      </c>
    </row>
    <row r="363" spans="1:10">
      <c r="A363" s="32" t="str">
        <f t="shared" si="15"/>
        <v>DM11444</v>
      </c>
      <c r="B363" s="152"/>
      <c r="C363" s="152"/>
      <c r="D363" s="160" t="s">
        <v>69</v>
      </c>
      <c r="E363" s="161"/>
      <c r="F363" s="162" t="s">
        <v>68</v>
      </c>
      <c r="G363" s="163"/>
      <c r="H363" s="155"/>
      <c r="I363" s="158"/>
      <c r="J363" s="108">
        <v>444</v>
      </c>
    </row>
    <row r="364" spans="1:10">
      <c r="A364" s="32" t="str">
        <f t="shared" si="15"/>
        <v>DM11445</v>
      </c>
      <c r="B364" s="152"/>
      <c r="C364" s="152"/>
      <c r="D364" s="160" t="s">
        <v>71</v>
      </c>
      <c r="E364" s="161"/>
      <c r="F364" s="162" t="s">
        <v>70</v>
      </c>
      <c r="G364" s="163"/>
      <c r="H364" s="155"/>
      <c r="I364" s="158"/>
      <c r="J364" s="108">
        <v>445</v>
      </c>
    </row>
    <row r="365" spans="1:10">
      <c r="A365" s="32" t="str">
        <f t="shared" si="15"/>
        <v>DM11446</v>
      </c>
      <c r="B365" s="152"/>
      <c r="C365" s="152"/>
      <c r="D365" s="160" t="s">
        <v>73</v>
      </c>
      <c r="E365" s="161"/>
      <c r="F365" s="162" t="s">
        <v>72</v>
      </c>
      <c r="G365" s="163"/>
      <c r="H365" s="155"/>
      <c r="I365" s="158"/>
      <c r="J365" s="108">
        <v>446</v>
      </c>
    </row>
    <row r="366" spans="1:10">
      <c r="A366" s="32" t="str">
        <f t="shared" si="15"/>
        <v>DM11447</v>
      </c>
      <c r="B366" s="152"/>
      <c r="C366" s="152"/>
      <c r="D366" s="160" t="s">
        <v>77</v>
      </c>
      <c r="E366" s="161"/>
      <c r="F366" s="162" t="s">
        <v>74</v>
      </c>
      <c r="G366" s="163"/>
      <c r="H366" s="155"/>
      <c r="I366" s="158"/>
      <c r="J366" s="108">
        <v>447</v>
      </c>
    </row>
    <row r="367" spans="1:10">
      <c r="A367" s="32" t="str">
        <f t="shared" si="15"/>
        <v>DM11448</v>
      </c>
      <c r="B367" s="152"/>
      <c r="C367" s="152"/>
      <c r="D367" s="160" t="s">
        <v>78</v>
      </c>
      <c r="E367" s="161"/>
      <c r="F367" s="162" t="s">
        <v>75</v>
      </c>
      <c r="G367" s="163"/>
      <c r="H367" s="155"/>
      <c r="I367" s="158"/>
      <c r="J367" s="108">
        <v>448</v>
      </c>
    </row>
    <row r="368" spans="1:10">
      <c r="A368" s="32" t="str">
        <f t="shared" si="15"/>
        <v>DM11449</v>
      </c>
      <c r="B368" s="153"/>
      <c r="C368" s="153"/>
      <c r="D368" s="160" t="s">
        <v>79</v>
      </c>
      <c r="E368" s="161"/>
      <c r="F368" s="162" t="s">
        <v>76</v>
      </c>
      <c r="G368" s="163"/>
      <c r="H368" s="156"/>
      <c r="I368" s="159"/>
      <c r="J368" s="108">
        <v>449</v>
      </c>
    </row>
    <row r="369" spans="1:10" ht="15" customHeight="1">
      <c r="A369" s="32" t="str">
        <f t="shared" si="15"/>
        <v>DM11450</v>
      </c>
      <c r="B369" s="110" t="s">
        <v>212</v>
      </c>
      <c r="C369" s="112" t="s">
        <v>116</v>
      </c>
      <c r="D369" s="83" t="s">
        <v>38</v>
      </c>
      <c r="E369" s="83" t="s">
        <v>38</v>
      </c>
      <c r="F369" s="83" t="s">
        <v>38</v>
      </c>
      <c r="G369" s="83" t="s">
        <v>38</v>
      </c>
      <c r="H369" s="113" t="s">
        <v>215</v>
      </c>
      <c r="I369" s="114" t="s">
        <v>173</v>
      </c>
      <c r="J369" s="108">
        <v>450</v>
      </c>
    </row>
    <row r="370" spans="1:10" ht="15" customHeight="1">
      <c r="A370" s="32" t="str">
        <f t="shared" si="15"/>
        <v>DM11451</v>
      </c>
      <c r="B370" s="110" t="s">
        <v>213</v>
      </c>
      <c r="C370" s="112" t="s">
        <v>116</v>
      </c>
      <c r="D370" s="83" t="s">
        <v>38</v>
      </c>
      <c r="E370" s="83" t="s">
        <v>38</v>
      </c>
      <c r="F370" s="83" t="s">
        <v>38</v>
      </c>
      <c r="G370" s="83" t="s">
        <v>38</v>
      </c>
      <c r="H370" s="113" t="s">
        <v>216</v>
      </c>
      <c r="I370" s="114" t="s">
        <v>173</v>
      </c>
      <c r="J370" s="108">
        <v>451</v>
      </c>
    </row>
    <row r="371" spans="1:10" ht="15" customHeight="1">
      <c r="A371" s="32" t="str">
        <f t="shared" si="15"/>
        <v>DM11452</v>
      </c>
      <c r="B371" s="110" t="s">
        <v>214</v>
      </c>
      <c r="C371" s="112" t="s">
        <v>116</v>
      </c>
      <c r="D371" s="83" t="s">
        <v>38</v>
      </c>
      <c r="E371" s="83" t="s">
        <v>38</v>
      </c>
      <c r="F371" s="83" t="s">
        <v>38</v>
      </c>
      <c r="G371" s="83" t="s">
        <v>38</v>
      </c>
      <c r="H371" s="113" t="s">
        <v>217</v>
      </c>
      <c r="I371" s="114" t="s">
        <v>173</v>
      </c>
      <c r="J371" s="108">
        <v>452</v>
      </c>
    </row>
    <row r="372" spans="1:10" ht="15" customHeight="1">
      <c r="A372" s="32" t="str">
        <f t="shared" si="15"/>
        <v>DM11453</v>
      </c>
      <c r="B372" s="35" t="s">
        <v>0</v>
      </c>
      <c r="C372" s="64"/>
      <c r="D372" s="47"/>
      <c r="E372" s="48"/>
      <c r="F372" s="48"/>
      <c r="G372" s="49"/>
      <c r="H372" s="34"/>
      <c r="I372" s="33"/>
      <c r="J372" s="108">
        <v>453</v>
      </c>
    </row>
    <row r="373" spans="1:10" ht="15" customHeight="1">
      <c r="A373" s="32" t="str">
        <f t="shared" si="15"/>
        <v>DM11454</v>
      </c>
      <c r="B373" s="35" t="s">
        <v>0</v>
      </c>
      <c r="C373" s="64"/>
      <c r="D373" s="47"/>
      <c r="E373" s="48"/>
      <c r="F373" s="48"/>
      <c r="G373" s="49"/>
      <c r="H373" s="34"/>
      <c r="I373" s="33"/>
      <c r="J373" s="108">
        <v>454</v>
      </c>
    </row>
    <row r="374" spans="1:10" ht="15" customHeight="1">
      <c r="A374" s="32" t="str">
        <f t="shared" si="15"/>
        <v>DM11455</v>
      </c>
      <c r="B374" s="35" t="s">
        <v>0</v>
      </c>
      <c r="C374" s="64"/>
      <c r="D374" s="47"/>
      <c r="E374" s="48"/>
      <c r="F374" s="48"/>
      <c r="G374" s="49"/>
      <c r="H374" s="34"/>
      <c r="I374" s="33"/>
      <c r="J374" s="108">
        <v>455</v>
      </c>
    </row>
    <row r="375" spans="1:10" ht="15" customHeight="1">
      <c r="A375" s="32" t="str">
        <f t="shared" si="15"/>
        <v>DM11456</v>
      </c>
      <c r="B375" s="35" t="s">
        <v>0</v>
      </c>
      <c r="C375" s="64"/>
      <c r="D375" s="47"/>
      <c r="E375" s="48"/>
      <c r="F375" s="48"/>
      <c r="G375" s="49"/>
      <c r="H375" s="34"/>
      <c r="I375" s="33"/>
      <c r="J375" s="108">
        <v>456</v>
      </c>
    </row>
    <row r="376" spans="1:10" ht="15" customHeight="1">
      <c r="A376" s="32" t="str">
        <f t="shared" si="15"/>
        <v>DM11457</v>
      </c>
      <c r="B376" s="35" t="s">
        <v>0</v>
      </c>
      <c r="C376" s="64"/>
      <c r="D376" s="47"/>
      <c r="E376" s="48"/>
      <c r="F376" s="48"/>
      <c r="G376" s="49"/>
      <c r="H376" s="34"/>
      <c r="I376" s="33"/>
      <c r="J376" s="108">
        <v>457</v>
      </c>
    </row>
    <row r="377" spans="1:10" ht="15" customHeight="1">
      <c r="A377" s="32" t="str">
        <f t="shared" si="15"/>
        <v>DM11458</v>
      </c>
      <c r="B377" s="35" t="s">
        <v>0</v>
      </c>
      <c r="C377" s="64"/>
      <c r="D377" s="47"/>
      <c r="E377" s="48"/>
      <c r="F377" s="48"/>
      <c r="G377" s="49"/>
      <c r="H377" s="34"/>
      <c r="I377" s="33"/>
      <c r="J377" s="108">
        <v>458</v>
      </c>
    </row>
    <row r="378" spans="1:10" ht="15" customHeight="1">
      <c r="A378" s="32" t="str">
        <f t="shared" si="15"/>
        <v>DM11459</v>
      </c>
      <c r="B378" s="35" t="s">
        <v>0</v>
      </c>
      <c r="C378" s="64"/>
      <c r="D378" s="47"/>
      <c r="E378" s="48"/>
      <c r="F378" s="48"/>
      <c r="G378" s="49"/>
      <c r="H378" s="34"/>
      <c r="I378" s="33"/>
      <c r="J378" s="108">
        <v>459</v>
      </c>
    </row>
    <row r="379" spans="1:10" ht="15" customHeight="1">
      <c r="A379" s="32" t="str">
        <f t="shared" si="15"/>
        <v>DM11460</v>
      </c>
      <c r="B379" s="35" t="s">
        <v>0</v>
      </c>
      <c r="C379" s="64"/>
      <c r="D379" s="47"/>
      <c r="E379" s="48"/>
      <c r="F379" s="48"/>
      <c r="G379" s="49"/>
      <c r="H379" s="34"/>
      <c r="I379" s="33"/>
      <c r="J379" s="108">
        <v>460</v>
      </c>
    </row>
    <row r="380" spans="1:10" ht="15" customHeight="1">
      <c r="A380" s="32" t="str">
        <f t="shared" si="15"/>
        <v>DM11461</v>
      </c>
      <c r="B380" s="35" t="s">
        <v>0</v>
      </c>
      <c r="C380" s="64"/>
      <c r="D380" s="47"/>
      <c r="E380" s="48"/>
      <c r="F380" s="48"/>
      <c r="G380" s="49"/>
      <c r="H380" s="34"/>
      <c r="I380" s="33"/>
      <c r="J380" s="108">
        <v>461</v>
      </c>
    </row>
    <row r="381" spans="1:10" ht="15" customHeight="1">
      <c r="A381" s="32" t="str">
        <f t="shared" si="15"/>
        <v>DM11462</v>
      </c>
      <c r="B381" s="35" t="s">
        <v>0</v>
      </c>
      <c r="C381" s="64"/>
      <c r="D381" s="47"/>
      <c r="E381" s="48"/>
      <c r="F381" s="48"/>
      <c r="G381" s="49"/>
      <c r="H381" s="34"/>
      <c r="I381" s="33"/>
      <c r="J381" s="108">
        <v>462</v>
      </c>
    </row>
    <row r="382" spans="1:10" ht="15" customHeight="1">
      <c r="A382" s="32" t="str">
        <f t="shared" si="15"/>
        <v>DM11463</v>
      </c>
      <c r="B382" s="35" t="s">
        <v>0</v>
      </c>
      <c r="C382" s="64"/>
      <c r="D382" s="47"/>
      <c r="E382" s="48"/>
      <c r="F382" s="48"/>
      <c r="G382" s="49"/>
      <c r="H382" s="34"/>
      <c r="I382" s="33"/>
      <c r="J382" s="108">
        <v>463</v>
      </c>
    </row>
    <row r="383" spans="1:10" ht="15" customHeight="1">
      <c r="A383" s="32" t="str">
        <f t="shared" si="15"/>
        <v>DM11464</v>
      </c>
      <c r="B383" s="35" t="s">
        <v>0</v>
      </c>
      <c r="C383" s="64"/>
      <c r="D383" s="47"/>
      <c r="E383" s="48"/>
      <c r="F383" s="48"/>
      <c r="G383" s="49"/>
      <c r="H383" s="34"/>
      <c r="I383" s="33"/>
      <c r="J383" s="108">
        <v>464</v>
      </c>
    </row>
    <row r="384" spans="1:10" ht="15" customHeight="1">
      <c r="A384" s="32" t="str">
        <f t="shared" si="15"/>
        <v>DM11465</v>
      </c>
      <c r="B384" s="35" t="s">
        <v>0</v>
      </c>
      <c r="C384" s="64"/>
      <c r="D384" s="47"/>
      <c r="E384" s="48"/>
      <c r="F384" s="48"/>
      <c r="G384" s="49"/>
      <c r="H384" s="34"/>
      <c r="I384" s="33"/>
      <c r="J384" s="108">
        <v>465</v>
      </c>
    </row>
    <row r="385" spans="1:10" ht="15" customHeight="1">
      <c r="A385" s="32" t="str">
        <f t="shared" si="15"/>
        <v>DM11466</v>
      </c>
      <c r="B385" s="35" t="s">
        <v>0</v>
      </c>
      <c r="C385" s="64"/>
      <c r="D385" s="47"/>
      <c r="E385" s="48"/>
      <c r="F385" s="48"/>
      <c r="G385" s="49"/>
      <c r="H385" s="34"/>
      <c r="I385" s="33"/>
      <c r="J385" s="108">
        <v>466</v>
      </c>
    </row>
    <row r="386" spans="1:10" ht="15" customHeight="1">
      <c r="A386" s="32" t="str">
        <f t="shared" si="15"/>
        <v>DM11467</v>
      </c>
      <c r="B386" s="35" t="s">
        <v>0</v>
      </c>
      <c r="C386" s="64"/>
      <c r="D386" s="47"/>
      <c r="E386" s="48"/>
      <c r="F386" s="48"/>
      <c r="G386" s="49"/>
      <c r="H386" s="34"/>
      <c r="I386" s="33"/>
      <c r="J386" s="108">
        <v>467</v>
      </c>
    </row>
    <row r="387" spans="1:10" ht="15" customHeight="1">
      <c r="A387" s="32" t="str">
        <f t="shared" si="15"/>
        <v>DM11468</v>
      </c>
      <c r="B387" s="35" t="s">
        <v>0</v>
      </c>
      <c r="C387" s="64"/>
      <c r="D387" s="47"/>
      <c r="E387" s="48"/>
      <c r="F387" s="48"/>
      <c r="G387" s="49"/>
      <c r="H387" s="34"/>
      <c r="I387" s="33"/>
      <c r="J387" s="108">
        <v>468</v>
      </c>
    </row>
    <row r="388" spans="1:10" ht="15" customHeight="1">
      <c r="A388" s="32" t="str">
        <f t="shared" si="15"/>
        <v>DM11469</v>
      </c>
      <c r="B388" s="35" t="s">
        <v>0</v>
      </c>
      <c r="C388" s="64"/>
      <c r="D388" s="47"/>
      <c r="E388" s="48"/>
      <c r="F388" s="48"/>
      <c r="G388" s="49"/>
      <c r="H388" s="34"/>
      <c r="I388" s="33"/>
      <c r="J388" s="108">
        <v>469</v>
      </c>
    </row>
    <row r="389" spans="1:10">
      <c r="A389" s="32" t="str">
        <f t="shared" ref="A389:A398" si="16">LEFT($C$3, 2) &amp; (MID($C$3, 3, LEN($C$3)) + J389)</f>
        <v>DM11470</v>
      </c>
      <c r="B389" s="35" t="s">
        <v>0</v>
      </c>
      <c r="C389" s="64"/>
      <c r="D389" s="47"/>
      <c r="E389" s="48"/>
      <c r="F389" s="48"/>
      <c r="G389" s="49"/>
      <c r="H389" s="34"/>
      <c r="I389" s="33"/>
      <c r="J389" s="108">
        <v>470</v>
      </c>
    </row>
    <row r="390" spans="1:10">
      <c r="A390" s="32" t="str">
        <f t="shared" si="16"/>
        <v>DM11471</v>
      </c>
      <c r="B390" s="35" t="s">
        <v>0</v>
      </c>
      <c r="C390" s="64"/>
      <c r="D390" s="47"/>
      <c r="E390" s="48"/>
      <c r="F390" s="48"/>
      <c r="G390" s="49"/>
      <c r="H390" s="34"/>
      <c r="I390" s="33"/>
      <c r="J390" s="108">
        <v>471</v>
      </c>
    </row>
    <row r="391" spans="1:10">
      <c r="A391" s="32" t="str">
        <f t="shared" si="16"/>
        <v>DM11472</v>
      </c>
      <c r="B391" s="35" t="s">
        <v>0</v>
      </c>
      <c r="C391" s="64"/>
      <c r="D391" s="47"/>
      <c r="E391" s="48"/>
      <c r="F391" s="48"/>
      <c r="G391" s="49"/>
      <c r="H391" s="34"/>
      <c r="I391" s="33"/>
      <c r="J391" s="108">
        <v>472</v>
      </c>
    </row>
    <row r="392" spans="1:10">
      <c r="A392" s="32" t="str">
        <f t="shared" si="16"/>
        <v>DM11473</v>
      </c>
      <c r="B392" s="35" t="s">
        <v>0</v>
      </c>
      <c r="C392" s="64"/>
      <c r="D392" s="47"/>
      <c r="E392" s="48"/>
      <c r="F392" s="48"/>
      <c r="G392" s="49"/>
      <c r="H392" s="34"/>
      <c r="I392" s="33"/>
      <c r="J392" s="108">
        <v>473</v>
      </c>
    </row>
    <row r="393" spans="1:10">
      <c r="A393" s="32" t="str">
        <f t="shared" si="16"/>
        <v>DM11474</v>
      </c>
      <c r="B393" s="69" t="s">
        <v>114</v>
      </c>
      <c r="C393" s="68" t="s">
        <v>81</v>
      </c>
      <c r="D393" s="83">
        <v>0</v>
      </c>
      <c r="E393" s="83">
        <v>0</v>
      </c>
      <c r="F393" s="83">
        <v>0</v>
      </c>
      <c r="G393" s="68" t="s">
        <v>253</v>
      </c>
      <c r="H393" s="78" t="s">
        <v>159</v>
      </c>
      <c r="I393" s="79" t="s">
        <v>156</v>
      </c>
      <c r="J393" s="108">
        <v>474</v>
      </c>
    </row>
    <row r="394" spans="1:10">
      <c r="A394" s="32" t="str">
        <f t="shared" si="16"/>
        <v>DM11475</v>
      </c>
      <c r="B394" s="91" t="s">
        <v>191</v>
      </c>
      <c r="C394" s="99" t="s">
        <v>116</v>
      </c>
      <c r="D394" s="61">
        <v>0</v>
      </c>
      <c r="E394" s="61">
        <v>0</v>
      </c>
      <c r="F394" s="96" t="s">
        <v>195</v>
      </c>
      <c r="G394" s="96" t="s">
        <v>195</v>
      </c>
      <c r="H394" s="97" t="s">
        <v>196</v>
      </c>
      <c r="I394" s="98" t="s">
        <v>197</v>
      </c>
      <c r="J394" s="108">
        <v>475</v>
      </c>
    </row>
    <row r="395" spans="1:10">
      <c r="A395" s="32" t="str">
        <f t="shared" si="16"/>
        <v>DM11476</v>
      </c>
      <c r="B395" s="35" t="s">
        <v>0</v>
      </c>
      <c r="C395" s="64"/>
      <c r="D395" s="47"/>
      <c r="E395" s="48"/>
      <c r="F395" s="48"/>
      <c r="G395" s="49"/>
      <c r="H395" s="34"/>
      <c r="I395" s="33"/>
      <c r="J395" s="108">
        <v>476</v>
      </c>
    </row>
    <row r="396" spans="1:10">
      <c r="A396" s="32" t="str">
        <f t="shared" si="16"/>
        <v>DM11477</v>
      </c>
      <c r="B396" s="35" t="s">
        <v>0</v>
      </c>
      <c r="C396" s="64"/>
      <c r="D396" s="47"/>
      <c r="E396" s="48"/>
      <c r="F396" s="48"/>
      <c r="G396" s="49"/>
      <c r="H396" s="34"/>
      <c r="I396" s="33"/>
      <c r="J396" s="108">
        <v>477</v>
      </c>
    </row>
    <row r="397" spans="1:10">
      <c r="A397" s="32" t="str">
        <f t="shared" si="16"/>
        <v>DM11478</v>
      </c>
      <c r="B397" s="35" t="s">
        <v>0</v>
      </c>
      <c r="C397" s="64"/>
      <c r="D397" s="47"/>
      <c r="E397" s="48"/>
      <c r="F397" s="48"/>
      <c r="G397" s="49"/>
      <c r="H397" s="34"/>
      <c r="I397" s="33"/>
      <c r="J397" s="108">
        <v>478</v>
      </c>
    </row>
    <row r="398" spans="1:10">
      <c r="A398" s="32" t="str">
        <f t="shared" si="16"/>
        <v>DM11479</v>
      </c>
      <c r="B398" s="35" t="s">
        <v>0</v>
      </c>
      <c r="C398" s="35"/>
      <c r="D398" s="94"/>
      <c r="E398" s="95"/>
      <c r="F398" s="95"/>
      <c r="G398" s="109"/>
      <c r="H398" s="34"/>
      <c r="I398" s="33"/>
      <c r="J398" s="108">
        <v>479</v>
      </c>
    </row>
  </sheetData>
  <mergeCells count="644">
    <mergeCell ref="B1:I1"/>
    <mergeCell ref="D2:I2"/>
    <mergeCell ref="A3:B3"/>
    <mergeCell ref="D5:G5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A4:B4"/>
    <mergeCell ref="A6:I6"/>
    <mergeCell ref="A13:I13"/>
    <mergeCell ref="I24:I26"/>
    <mergeCell ref="D25:E25"/>
    <mergeCell ref="F25:G25"/>
    <mergeCell ref="D26:E26"/>
    <mergeCell ref="F26:G26"/>
    <mergeCell ref="B17:B23"/>
    <mergeCell ref="C17:C23"/>
    <mergeCell ref="D17:E17"/>
    <mergeCell ref="F17:G17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35:E35"/>
    <mergeCell ref="F35:G35"/>
    <mergeCell ref="D36:E36"/>
    <mergeCell ref="F36:G36"/>
    <mergeCell ref="B24:B26"/>
    <mergeCell ref="C24:C26"/>
    <mergeCell ref="D24:E24"/>
    <mergeCell ref="F24:G24"/>
    <mergeCell ref="H24:H26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B65:B67"/>
    <mergeCell ref="C65:C67"/>
    <mergeCell ref="D65:E65"/>
    <mergeCell ref="F65:G65"/>
    <mergeCell ref="A64:I64"/>
    <mergeCell ref="B27:B50"/>
    <mergeCell ref="C27:C50"/>
    <mergeCell ref="D27:E27"/>
    <mergeCell ref="F27:G27"/>
    <mergeCell ref="H27:H50"/>
    <mergeCell ref="I27:I50"/>
    <mergeCell ref="D28:E28"/>
    <mergeCell ref="F28:G28"/>
    <mergeCell ref="D29:E29"/>
    <mergeCell ref="F29:G29"/>
    <mergeCell ref="D30:E30"/>
    <mergeCell ref="H65:H67"/>
    <mergeCell ref="I65:I67"/>
    <mergeCell ref="D66:E66"/>
    <mergeCell ref="F66:G66"/>
    <mergeCell ref="D67:E67"/>
    <mergeCell ref="F67:G67"/>
    <mergeCell ref="B68:B74"/>
    <mergeCell ref="C68:C74"/>
    <mergeCell ref="D68:E68"/>
    <mergeCell ref="F68:G68"/>
    <mergeCell ref="H68:H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B78:B87"/>
    <mergeCell ref="C78:C87"/>
    <mergeCell ref="D78:E78"/>
    <mergeCell ref="F78:G78"/>
    <mergeCell ref="H78:H87"/>
    <mergeCell ref="I78:I87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B88:B97"/>
    <mergeCell ref="C88:C97"/>
    <mergeCell ref="D88:E88"/>
    <mergeCell ref="F88:G88"/>
    <mergeCell ref="D93:E93"/>
    <mergeCell ref="F93:G93"/>
    <mergeCell ref="D94:E94"/>
    <mergeCell ref="F94:G94"/>
    <mergeCell ref="H88:H9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95:E95"/>
    <mergeCell ref="F95:G95"/>
    <mergeCell ref="D96:E96"/>
    <mergeCell ref="F96:G96"/>
    <mergeCell ref="D97:E97"/>
    <mergeCell ref="F97:G97"/>
    <mergeCell ref="B98:B107"/>
    <mergeCell ref="C98:C107"/>
    <mergeCell ref="D98:E98"/>
    <mergeCell ref="F98:G98"/>
    <mergeCell ref="H98:H107"/>
    <mergeCell ref="I98:I107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H108:H117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5:E115"/>
    <mergeCell ref="F115:G115"/>
    <mergeCell ref="D116:E116"/>
    <mergeCell ref="F116:G116"/>
    <mergeCell ref="D117:E117"/>
    <mergeCell ref="F117:G117"/>
    <mergeCell ref="B132:B141"/>
    <mergeCell ref="C132:C141"/>
    <mergeCell ref="D132:E132"/>
    <mergeCell ref="F132:G132"/>
    <mergeCell ref="D137:E137"/>
    <mergeCell ref="F137:G137"/>
    <mergeCell ref="H132:H141"/>
    <mergeCell ref="I132:I141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B142:B151"/>
    <mergeCell ref="C142:C151"/>
    <mergeCell ref="D142:E142"/>
    <mergeCell ref="F142:G142"/>
    <mergeCell ref="D147:E147"/>
    <mergeCell ref="F147:G147"/>
    <mergeCell ref="D148:E148"/>
    <mergeCell ref="F148:G148"/>
    <mergeCell ref="H142:H151"/>
    <mergeCell ref="I142:I151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9:E149"/>
    <mergeCell ref="F149:G149"/>
    <mergeCell ref="D150:E150"/>
    <mergeCell ref="F150:G150"/>
    <mergeCell ref="D151:E151"/>
    <mergeCell ref="F151:G151"/>
    <mergeCell ref="B152:B161"/>
    <mergeCell ref="C152:C161"/>
    <mergeCell ref="D152:E152"/>
    <mergeCell ref="F152:G152"/>
    <mergeCell ref="H152:H161"/>
    <mergeCell ref="I152:I161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B162:B171"/>
    <mergeCell ref="C162:C171"/>
    <mergeCell ref="D162:E162"/>
    <mergeCell ref="F162:G162"/>
    <mergeCell ref="D167:E167"/>
    <mergeCell ref="F167:G167"/>
    <mergeCell ref="D168:E168"/>
    <mergeCell ref="F168:G168"/>
    <mergeCell ref="H162:H171"/>
    <mergeCell ref="I162:I171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9:E169"/>
    <mergeCell ref="F169:G169"/>
    <mergeCell ref="D170:E170"/>
    <mergeCell ref="F170:G170"/>
    <mergeCell ref="D171:E171"/>
    <mergeCell ref="F171:G171"/>
    <mergeCell ref="B172:B181"/>
    <mergeCell ref="C172:C181"/>
    <mergeCell ref="D172:E172"/>
    <mergeCell ref="F172:G172"/>
    <mergeCell ref="H172:H181"/>
    <mergeCell ref="I172:I181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B182:B191"/>
    <mergeCell ref="C182:C191"/>
    <mergeCell ref="D182:E182"/>
    <mergeCell ref="F182:G182"/>
    <mergeCell ref="D187:E187"/>
    <mergeCell ref="F187:G187"/>
    <mergeCell ref="D188:E188"/>
    <mergeCell ref="F188:G188"/>
    <mergeCell ref="H182:H191"/>
    <mergeCell ref="I182:I191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9:E189"/>
    <mergeCell ref="F189:G189"/>
    <mergeCell ref="D190:E190"/>
    <mergeCell ref="F190:G190"/>
    <mergeCell ref="D191:E191"/>
    <mergeCell ref="F191:G191"/>
    <mergeCell ref="B192:B201"/>
    <mergeCell ref="C192:C201"/>
    <mergeCell ref="D192:E192"/>
    <mergeCell ref="F192:G192"/>
    <mergeCell ref="H192:H201"/>
    <mergeCell ref="I192:I201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B202:B211"/>
    <mergeCell ref="C202:C211"/>
    <mergeCell ref="D202:E202"/>
    <mergeCell ref="F202:G202"/>
    <mergeCell ref="D207:E207"/>
    <mergeCell ref="F207:G207"/>
    <mergeCell ref="D208:E208"/>
    <mergeCell ref="F208:G208"/>
    <mergeCell ref="H202:H211"/>
    <mergeCell ref="I202:I211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9:E209"/>
    <mergeCell ref="F209:G209"/>
    <mergeCell ref="D210:E210"/>
    <mergeCell ref="F210:G210"/>
    <mergeCell ref="D211:E211"/>
    <mergeCell ref="F211:G211"/>
    <mergeCell ref="B212:B221"/>
    <mergeCell ref="C212:C221"/>
    <mergeCell ref="D212:E212"/>
    <mergeCell ref="F212:G212"/>
    <mergeCell ref="H212:H221"/>
    <mergeCell ref="I212:I221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B222:B231"/>
    <mergeCell ref="C222:C231"/>
    <mergeCell ref="D222:E222"/>
    <mergeCell ref="F222:G222"/>
    <mergeCell ref="D227:E227"/>
    <mergeCell ref="F227:G227"/>
    <mergeCell ref="D228:E228"/>
    <mergeCell ref="F228:G228"/>
    <mergeCell ref="H222:H231"/>
    <mergeCell ref="H266:H268"/>
    <mergeCell ref="I266:I268"/>
    <mergeCell ref="D267:E267"/>
    <mergeCell ref="F267:G267"/>
    <mergeCell ref="D268:E268"/>
    <mergeCell ref="F268:G268"/>
    <mergeCell ref="I222:I231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9:E229"/>
    <mergeCell ref="F229:G229"/>
    <mergeCell ref="D230:E230"/>
    <mergeCell ref="F230:G230"/>
    <mergeCell ref="D231:E231"/>
    <mergeCell ref="F231:G23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B266:B268"/>
    <mergeCell ref="C266:C268"/>
    <mergeCell ref="D266:E266"/>
    <mergeCell ref="F266:G266"/>
    <mergeCell ref="I297:I299"/>
    <mergeCell ref="D298:E298"/>
    <mergeCell ref="F298:G298"/>
    <mergeCell ref="D299:E299"/>
    <mergeCell ref="F299:G299"/>
    <mergeCell ref="A265:I265"/>
    <mergeCell ref="B278:B279"/>
    <mergeCell ref="C278:C279"/>
    <mergeCell ref="D278:E278"/>
    <mergeCell ref="F278:G278"/>
    <mergeCell ref="H278:H279"/>
    <mergeCell ref="I278:I279"/>
    <mergeCell ref="D279:E279"/>
    <mergeCell ref="F279:G279"/>
    <mergeCell ref="B269:B275"/>
    <mergeCell ref="C269:C275"/>
    <mergeCell ref="D269:E269"/>
    <mergeCell ref="F269:G269"/>
    <mergeCell ref="H269:H275"/>
    <mergeCell ref="I269:I275"/>
    <mergeCell ref="D270:E270"/>
    <mergeCell ref="F270:G270"/>
    <mergeCell ref="D271:E271"/>
    <mergeCell ref="F271:G271"/>
    <mergeCell ref="A296:I296"/>
    <mergeCell ref="B300:B306"/>
    <mergeCell ref="C300:C306"/>
    <mergeCell ref="D300:E300"/>
    <mergeCell ref="F300:G300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B297:B299"/>
    <mergeCell ref="C297:C299"/>
    <mergeCell ref="D297:E297"/>
    <mergeCell ref="F297:G297"/>
    <mergeCell ref="H297:H299"/>
    <mergeCell ref="B318:B320"/>
    <mergeCell ref="C318:C320"/>
    <mergeCell ref="D318:E318"/>
    <mergeCell ref="F318:G318"/>
    <mergeCell ref="H318:H320"/>
    <mergeCell ref="I318:I320"/>
    <mergeCell ref="D319:E319"/>
    <mergeCell ref="F319:G319"/>
    <mergeCell ref="D320:E320"/>
    <mergeCell ref="F320:G320"/>
    <mergeCell ref="B321:B327"/>
    <mergeCell ref="C321:C327"/>
    <mergeCell ref="D321:E321"/>
    <mergeCell ref="F321:G321"/>
    <mergeCell ref="H321:H327"/>
    <mergeCell ref="I321:I327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A317:I317"/>
    <mergeCell ref="B328:B337"/>
    <mergeCell ref="C328:C337"/>
    <mergeCell ref="D328:E328"/>
    <mergeCell ref="F328:G328"/>
    <mergeCell ref="D333:E333"/>
    <mergeCell ref="F333:G333"/>
    <mergeCell ref="D334:E334"/>
    <mergeCell ref="H328:H337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F334:G334"/>
    <mergeCell ref="D335:E335"/>
    <mergeCell ref="F335:G335"/>
    <mergeCell ref="D336:E336"/>
    <mergeCell ref="F336:G336"/>
    <mergeCell ref="D337:E337"/>
    <mergeCell ref="F337:G337"/>
    <mergeCell ref="B338:B347"/>
    <mergeCell ref="C338:C347"/>
    <mergeCell ref="D338:E338"/>
    <mergeCell ref="F338:G338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B359:B361"/>
    <mergeCell ref="C359:C361"/>
    <mergeCell ref="D359:E359"/>
    <mergeCell ref="F359:G359"/>
    <mergeCell ref="H359:H361"/>
    <mergeCell ref="I359:I361"/>
    <mergeCell ref="D360:E360"/>
    <mergeCell ref="F360:G360"/>
    <mergeCell ref="D361:E361"/>
    <mergeCell ref="F361:G361"/>
    <mergeCell ref="A358:I358"/>
    <mergeCell ref="B362:B368"/>
    <mergeCell ref="C362:C368"/>
    <mergeCell ref="D362:E362"/>
    <mergeCell ref="F362:G362"/>
    <mergeCell ref="H362:H368"/>
    <mergeCell ref="I362:I368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5D3E-1DA0-47FA-B81C-24A20255A04A}">
  <dimension ref="A1:J64"/>
  <sheetViews>
    <sheetView showGridLines="0" topLeftCell="A15" zoomScale="85" zoomScaleNormal="85" zoomScaleSheetLayoutView="75" workbookViewId="0">
      <selection activeCell="B65" sqref="B65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37" t="s">
        <v>50</v>
      </c>
      <c r="C1" s="138"/>
      <c r="D1" s="138"/>
      <c r="E1" s="138"/>
      <c r="F1" s="138"/>
      <c r="G1" s="138"/>
      <c r="H1" s="138"/>
      <c r="I1" s="139"/>
    </row>
    <row r="2" spans="1:10">
      <c r="A2" s="50"/>
      <c r="B2" s="36" t="s">
        <v>9</v>
      </c>
      <c r="C2" s="63"/>
      <c r="D2" s="140" t="str">
        <f>Cover!C13</f>
        <v>CIM Equipment spec.</v>
      </c>
      <c r="E2" s="140"/>
      <c r="F2" s="140"/>
      <c r="G2" s="140"/>
      <c r="H2" s="140"/>
      <c r="I2" s="141"/>
    </row>
    <row r="3" spans="1:10" ht="15" customHeight="1">
      <c r="A3" s="142" t="s">
        <v>190</v>
      </c>
      <c r="B3" s="143"/>
      <c r="C3" s="58" t="s">
        <v>249</v>
      </c>
      <c r="D3" s="58"/>
      <c r="F3" s="6"/>
      <c r="G3" s="6"/>
      <c r="I3" s="37"/>
    </row>
    <row r="4" spans="1:10" ht="15.6" customHeight="1">
      <c r="A4" s="144"/>
      <c r="B4" s="145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46" t="s">
        <v>52</v>
      </c>
      <c r="E5" s="147"/>
      <c r="F5" s="147"/>
      <c r="G5" s="148"/>
      <c r="H5" s="30" t="s">
        <v>5</v>
      </c>
      <c r="I5" s="40" t="s">
        <v>6</v>
      </c>
    </row>
    <row r="6" spans="1:10" ht="15.6" customHeight="1">
      <c r="A6" s="134" t="s">
        <v>192</v>
      </c>
      <c r="B6" s="135"/>
      <c r="C6" s="135"/>
      <c r="D6" s="135"/>
      <c r="E6" s="135"/>
      <c r="F6" s="135"/>
      <c r="G6" s="135"/>
      <c r="H6" s="135"/>
      <c r="I6" s="136"/>
    </row>
    <row r="7" spans="1:10" ht="151.5" customHeight="1">
      <c r="A7" s="32" t="str">
        <f t="shared" ref="A7:A12" si="0">LEFT($C$3, 2) &amp; (MID($C$3, 3, LEN($C$3)) + J7)</f>
        <v>DM12000</v>
      </c>
      <c r="B7" s="59" t="s">
        <v>51</v>
      </c>
      <c r="C7" s="66" t="s">
        <v>81</v>
      </c>
      <c r="D7" s="60" t="s">
        <v>2</v>
      </c>
      <c r="E7" s="61" t="s">
        <v>2</v>
      </c>
      <c r="F7" s="61" t="s">
        <v>2</v>
      </c>
      <c r="G7" s="96" t="s">
        <v>115</v>
      </c>
      <c r="H7" s="65" t="s">
        <v>200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DM12001</v>
      </c>
      <c r="B8" s="42" t="s">
        <v>55</v>
      </c>
      <c r="C8" s="42" t="s">
        <v>116</v>
      </c>
      <c r="D8" s="60">
        <v>0</v>
      </c>
      <c r="E8" s="61" t="s">
        <v>2</v>
      </c>
      <c r="F8" s="61" t="s">
        <v>2</v>
      </c>
      <c r="G8" s="96" t="s">
        <v>115</v>
      </c>
      <c r="H8" s="65" t="s">
        <v>200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DM12002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DM12003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DM12004</v>
      </c>
      <c r="B11" s="62" t="s">
        <v>206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193</v>
      </c>
      <c r="H11" s="67" t="s">
        <v>208</v>
      </c>
      <c r="I11" s="43"/>
      <c r="J11" s="107" t="s">
        <v>205</v>
      </c>
    </row>
    <row r="12" spans="1:10" ht="151.5" customHeight="1" thickBot="1">
      <c r="A12" s="32" t="str">
        <f t="shared" si="0"/>
        <v>DM12005</v>
      </c>
      <c r="B12" s="62" t="s">
        <v>210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193</v>
      </c>
      <c r="H12" s="67" t="s">
        <v>211</v>
      </c>
      <c r="I12" s="43"/>
      <c r="J12" s="107" t="s">
        <v>209</v>
      </c>
    </row>
    <row r="13" spans="1:10" ht="15.6" customHeight="1">
      <c r="A13" s="134" t="s">
        <v>153</v>
      </c>
      <c r="B13" s="135"/>
      <c r="C13" s="135"/>
      <c r="D13" s="135"/>
      <c r="E13" s="135"/>
      <c r="F13" s="135"/>
      <c r="G13" s="135"/>
      <c r="H13" s="135"/>
      <c r="I13" s="136"/>
    </row>
    <row r="14" spans="1:10" ht="15.6" customHeight="1">
      <c r="A14" s="32" t="str">
        <f t="shared" ref="A14:A43" si="1">LEFT($C$3, 2) &amp; (MID($C$3, 3, LEN($C$3)) + J14)</f>
        <v>DM12100</v>
      </c>
      <c r="B14" s="151" t="s">
        <v>59</v>
      </c>
      <c r="C14" s="151" t="s">
        <v>58</v>
      </c>
      <c r="D14" s="149" t="s">
        <v>25</v>
      </c>
      <c r="E14" s="150"/>
      <c r="F14" s="149" t="s">
        <v>65</v>
      </c>
      <c r="G14" s="150"/>
      <c r="H14" s="154" t="s">
        <v>60</v>
      </c>
      <c r="I14" s="157" t="s">
        <v>82</v>
      </c>
      <c r="J14" s="6">
        <v>100</v>
      </c>
    </row>
    <row r="15" spans="1:10" ht="15.6" customHeight="1">
      <c r="A15" s="32" t="str">
        <f t="shared" si="1"/>
        <v>DM12101</v>
      </c>
      <c r="B15" s="152"/>
      <c r="C15" s="152"/>
      <c r="D15" s="149" t="s">
        <v>26</v>
      </c>
      <c r="E15" s="150"/>
      <c r="F15" s="149" t="s">
        <v>27</v>
      </c>
      <c r="G15" s="150"/>
      <c r="H15" s="155"/>
      <c r="I15" s="158"/>
      <c r="J15" s="6">
        <v>101</v>
      </c>
    </row>
    <row r="16" spans="1:10" ht="15.75" customHeight="1">
      <c r="A16" s="32" t="str">
        <f t="shared" si="1"/>
        <v>DM12102</v>
      </c>
      <c r="B16" s="153"/>
      <c r="C16" s="152"/>
      <c r="D16" s="149" t="s">
        <v>28</v>
      </c>
      <c r="E16" s="150"/>
      <c r="F16" s="149" t="s">
        <v>29</v>
      </c>
      <c r="G16" s="150"/>
      <c r="H16" s="155"/>
      <c r="I16" s="158"/>
      <c r="J16" s="6">
        <v>102</v>
      </c>
    </row>
    <row r="17" spans="1:10" ht="15.75" customHeight="1">
      <c r="A17" s="32" t="str">
        <f t="shared" si="1"/>
        <v>DM12103</v>
      </c>
      <c r="B17" s="151" t="s">
        <v>61</v>
      </c>
      <c r="C17" s="151" t="s">
        <v>81</v>
      </c>
      <c r="D17" s="160" t="s">
        <v>67</v>
      </c>
      <c r="E17" s="161"/>
      <c r="F17" s="162" t="s">
        <v>66</v>
      </c>
      <c r="G17" s="163"/>
      <c r="H17" s="154" t="s">
        <v>62</v>
      </c>
      <c r="I17" s="157" t="s">
        <v>63</v>
      </c>
      <c r="J17" s="6">
        <v>103</v>
      </c>
    </row>
    <row r="18" spans="1:10" ht="16.5" customHeight="1">
      <c r="A18" s="32" t="str">
        <f t="shared" si="1"/>
        <v>DM12104</v>
      </c>
      <c r="B18" s="152"/>
      <c r="C18" s="152"/>
      <c r="D18" s="160" t="s">
        <v>69</v>
      </c>
      <c r="E18" s="161"/>
      <c r="F18" s="162" t="s">
        <v>68</v>
      </c>
      <c r="G18" s="163"/>
      <c r="H18" s="155"/>
      <c r="I18" s="158"/>
      <c r="J18" s="6">
        <v>104</v>
      </c>
    </row>
    <row r="19" spans="1:10" ht="16.5" customHeight="1">
      <c r="A19" s="32" t="str">
        <f t="shared" si="1"/>
        <v>DM12105</v>
      </c>
      <c r="B19" s="152"/>
      <c r="C19" s="152"/>
      <c r="D19" s="160" t="s">
        <v>71</v>
      </c>
      <c r="E19" s="161"/>
      <c r="F19" s="162" t="s">
        <v>70</v>
      </c>
      <c r="G19" s="163"/>
      <c r="H19" s="155"/>
      <c r="I19" s="158"/>
      <c r="J19" s="6">
        <v>105</v>
      </c>
    </row>
    <row r="20" spans="1:10" ht="16.5" customHeight="1">
      <c r="A20" s="32" t="str">
        <f t="shared" si="1"/>
        <v>DM12106</v>
      </c>
      <c r="B20" s="152"/>
      <c r="C20" s="152"/>
      <c r="D20" s="160" t="s">
        <v>73</v>
      </c>
      <c r="E20" s="161"/>
      <c r="F20" s="162" t="s">
        <v>72</v>
      </c>
      <c r="G20" s="163"/>
      <c r="H20" s="155"/>
      <c r="I20" s="158"/>
      <c r="J20" s="6">
        <v>106</v>
      </c>
    </row>
    <row r="21" spans="1:10" ht="16.149999999999999" customHeight="1">
      <c r="A21" s="32" t="str">
        <f t="shared" si="1"/>
        <v>DM12107</v>
      </c>
      <c r="B21" s="152"/>
      <c r="C21" s="152"/>
      <c r="D21" s="160" t="s">
        <v>77</v>
      </c>
      <c r="E21" s="161"/>
      <c r="F21" s="162" t="s">
        <v>74</v>
      </c>
      <c r="G21" s="163"/>
      <c r="H21" s="155"/>
      <c r="I21" s="158"/>
      <c r="J21" s="6">
        <v>107</v>
      </c>
    </row>
    <row r="22" spans="1:10" ht="15.6" customHeight="1">
      <c r="A22" s="32" t="str">
        <f t="shared" si="1"/>
        <v>DM12108</v>
      </c>
      <c r="B22" s="152"/>
      <c r="C22" s="152"/>
      <c r="D22" s="160" t="s">
        <v>78</v>
      </c>
      <c r="E22" s="161"/>
      <c r="F22" s="162" t="s">
        <v>75</v>
      </c>
      <c r="G22" s="163"/>
      <c r="H22" s="155"/>
      <c r="I22" s="158"/>
      <c r="J22" s="6">
        <v>108</v>
      </c>
    </row>
    <row r="23" spans="1:10" ht="15.6" customHeight="1">
      <c r="A23" s="32" t="str">
        <f t="shared" si="1"/>
        <v>DM12109</v>
      </c>
      <c r="B23" s="153"/>
      <c r="C23" s="153"/>
      <c r="D23" s="160" t="s">
        <v>79</v>
      </c>
      <c r="E23" s="161"/>
      <c r="F23" s="162" t="s">
        <v>76</v>
      </c>
      <c r="G23" s="163"/>
      <c r="H23" s="156"/>
      <c r="I23" s="159"/>
      <c r="J23" s="6">
        <v>109</v>
      </c>
    </row>
    <row r="24" spans="1:10" ht="15" customHeight="1">
      <c r="A24" s="32" t="str">
        <f t="shared" si="1"/>
        <v>DM12110</v>
      </c>
      <c r="B24" s="91" t="s">
        <v>154</v>
      </c>
      <c r="C24" s="73" t="s">
        <v>81</v>
      </c>
      <c r="D24" s="60">
        <v>0</v>
      </c>
      <c r="E24" s="61">
        <v>0</v>
      </c>
      <c r="F24" s="61">
        <v>0</v>
      </c>
      <c r="G24" s="111" t="s">
        <v>253</v>
      </c>
      <c r="H24" s="97" t="s">
        <v>157</v>
      </c>
      <c r="I24" s="98" t="s">
        <v>156</v>
      </c>
      <c r="J24" s="6">
        <v>110</v>
      </c>
    </row>
    <row r="25" spans="1:10" ht="15.75" customHeight="1">
      <c r="A25" s="32" t="str">
        <f t="shared" si="1"/>
        <v>DM12111</v>
      </c>
      <c r="B25" s="91" t="s">
        <v>155</v>
      </c>
      <c r="C25" s="73" t="s">
        <v>81</v>
      </c>
      <c r="D25" s="60">
        <v>0</v>
      </c>
      <c r="E25" s="61">
        <v>0</v>
      </c>
      <c r="F25" s="61">
        <v>0</v>
      </c>
      <c r="G25" s="111" t="s">
        <v>253</v>
      </c>
      <c r="H25" s="97" t="s">
        <v>158</v>
      </c>
      <c r="I25" s="98" t="s">
        <v>156</v>
      </c>
      <c r="J25" s="6">
        <v>111</v>
      </c>
    </row>
    <row r="26" spans="1:10" ht="15.75" customHeight="1">
      <c r="A26" s="32" t="str">
        <f t="shared" si="1"/>
        <v>DM12112</v>
      </c>
      <c r="B26" s="164" t="s">
        <v>160</v>
      </c>
      <c r="C26" s="164" t="s">
        <v>58</v>
      </c>
      <c r="D26" s="165" t="s">
        <v>25</v>
      </c>
      <c r="E26" s="165"/>
      <c r="F26" s="165" t="s">
        <v>65</v>
      </c>
      <c r="G26" s="165"/>
      <c r="H26" s="166" t="s">
        <v>161</v>
      </c>
      <c r="I26" s="167" t="s">
        <v>162</v>
      </c>
      <c r="J26" s="6">
        <v>112</v>
      </c>
    </row>
    <row r="27" spans="1:10" ht="16.5" customHeight="1">
      <c r="A27" s="32" t="str">
        <f t="shared" si="1"/>
        <v>DM12113</v>
      </c>
      <c r="B27" s="164"/>
      <c r="C27" s="164"/>
      <c r="D27" s="165" t="s">
        <v>26</v>
      </c>
      <c r="E27" s="165"/>
      <c r="F27" s="165" t="s">
        <v>27</v>
      </c>
      <c r="G27" s="165"/>
      <c r="H27" s="166"/>
      <c r="I27" s="167"/>
      <c r="J27" s="6">
        <v>113</v>
      </c>
    </row>
    <row r="28" spans="1:10" ht="16.5" customHeight="1">
      <c r="A28" s="32" t="str">
        <f t="shared" si="1"/>
        <v>DM12114</v>
      </c>
      <c r="B28" s="41" t="s">
        <v>0</v>
      </c>
      <c r="C28" s="82"/>
      <c r="D28" s="76"/>
      <c r="E28" s="74"/>
      <c r="F28" s="74"/>
      <c r="G28" s="77"/>
      <c r="H28" s="75"/>
      <c r="I28" s="93"/>
      <c r="J28" s="6">
        <v>114</v>
      </c>
    </row>
    <row r="29" spans="1:10" ht="16.5" customHeight="1">
      <c r="A29" s="32" t="str">
        <f t="shared" si="1"/>
        <v>DM12115</v>
      </c>
      <c r="B29" s="41" t="s">
        <v>0</v>
      </c>
      <c r="C29" s="82"/>
      <c r="D29" s="76"/>
      <c r="E29" s="74"/>
      <c r="F29" s="74"/>
      <c r="G29" s="77"/>
      <c r="H29" s="75"/>
      <c r="I29" s="93"/>
      <c r="J29" s="6">
        <v>115</v>
      </c>
    </row>
    <row r="30" spans="1:10" ht="16.5" customHeight="1">
      <c r="A30" s="32" t="str">
        <f t="shared" si="1"/>
        <v>DM12116</v>
      </c>
      <c r="B30" s="41" t="s">
        <v>0</v>
      </c>
      <c r="C30" s="82"/>
      <c r="D30" s="76"/>
      <c r="E30" s="74"/>
      <c r="F30" s="74"/>
      <c r="G30" s="77"/>
      <c r="H30" s="75"/>
      <c r="I30" s="93"/>
      <c r="J30" s="6">
        <v>116</v>
      </c>
    </row>
    <row r="31" spans="1:10" ht="16.5" customHeight="1">
      <c r="A31" s="32" t="str">
        <f t="shared" si="1"/>
        <v>DM12117</v>
      </c>
      <c r="B31" s="41" t="s">
        <v>0</v>
      </c>
      <c r="C31" s="82"/>
      <c r="D31" s="76"/>
      <c r="E31" s="74"/>
      <c r="F31" s="74"/>
      <c r="G31" s="77"/>
      <c r="H31" s="75"/>
      <c r="I31" s="93"/>
      <c r="J31" s="6">
        <v>117</v>
      </c>
    </row>
    <row r="32" spans="1:10" ht="16.5" customHeight="1">
      <c r="A32" s="32" t="str">
        <f t="shared" si="1"/>
        <v>DM12118</v>
      </c>
      <c r="B32" s="41" t="s">
        <v>0</v>
      </c>
      <c r="C32" s="82"/>
      <c r="D32" s="76"/>
      <c r="E32" s="74"/>
      <c r="F32" s="74"/>
      <c r="G32" s="77"/>
      <c r="H32" s="75"/>
      <c r="I32" s="93"/>
      <c r="J32" s="6">
        <v>118</v>
      </c>
    </row>
    <row r="33" spans="1:10">
      <c r="A33" s="32" t="str">
        <f t="shared" si="1"/>
        <v>DM12119</v>
      </c>
      <c r="B33" s="41" t="s">
        <v>0</v>
      </c>
      <c r="C33" s="82"/>
      <c r="D33" s="76"/>
      <c r="E33" s="74"/>
      <c r="F33" s="74"/>
      <c r="G33" s="77"/>
      <c r="H33" s="75"/>
      <c r="I33" s="93"/>
      <c r="J33" s="6">
        <v>119</v>
      </c>
    </row>
    <row r="34" spans="1:10">
      <c r="A34" s="32" t="str">
        <f t="shared" si="1"/>
        <v>DM12120</v>
      </c>
      <c r="B34" s="41" t="s">
        <v>0</v>
      </c>
      <c r="C34" s="82"/>
      <c r="D34" s="76"/>
      <c r="E34" s="74"/>
      <c r="F34" s="74"/>
      <c r="G34" s="77"/>
      <c r="H34" s="75"/>
      <c r="I34" s="93"/>
      <c r="J34" s="6">
        <v>120</v>
      </c>
    </row>
    <row r="35" spans="1:10">
      <c r="A35" s="32" t="str">
        <f t="shared" si="1"/>
        <v>DM12121</v>
      </c>
      <c r="B35" s="91" t="s">
        <v>114</v>
      </c>
      <c r="C35" s="99" t="s">
        <v>116</v>
      </c>
      <c r="D35" s="83">
        <v>0</v>
      </c>
      <c r="E35" s="83">
        <v>0</v>
      </c>
      <c r="F35" s="83">
        <v>0</v>
      </c>
      <c r="G35" s="111" t="s">
        <v>253</v>
      </c>
      <c r="H35" s="100" t="s">
        <v>159</v>
      </c>
      <c r="I35" s="101" t="s">
        <v>156</v>
      </c>
      <c r="J35" s="6">
        <v>121</v>
      </c>
    </row>
    <row r="36" spans="1:10" ht="15" customHeight="1">
      <c r="A36" s="32" t="str">
        <f t="shared" si="1"/>
        <v>DM12122</v>
      </c>
      <c r="B36" s="91" t="s">
        <v>191</v>
      </c>
      <c r="C36" s="99" t="s">
        <v>116</v>
      </c>
      <c r="D36" s="61">
        <v>0</v>
      </c>
      <c r="E36" s="61">
        <v>0</v>
      </c>
      <c r="F36" s="96" t="s">
        <v>195</v>
      </c>
      <c r="G36" s="96" t="s">
        <v>195</v>
      </c>
      <c r="H36" s="97" t="s">
        <v>196</v>
      </c>
      <c r="I36" s="98" t="s">
        <v>197</v>
      </c>
      <c r="J36" s="6">
        <v>122</v>
      </c>
    </row>
    <row r="37" spans="1:10" ht="15" customHeight="1">
      <c r="A37" s="32" t="str">
        <f t="shared" si="1"/>
        <v>DM12123</v>
      </c>
      <c r="B37" s="102"/>
      <c r="C37" s="102"/>
      <c r="D37" s="105" t="s">
        <v>26</v>
      </c>
      <c r="E37" s="106"/>
      <c r="F37" s="105" t="s">
        <v>27</v>
      </c>
      <c r="G37" s="106"/>
      <c r="H37" s="104"/>
      <c r="I37" s="103"/>
      <c r="J37" s="6">
        <v>123</v>
      </c>
    </row>
    <row r="38" spans="1:10" ht="15" customHeight="1">
      <c r="A38" s="32" t="str">
        <f t="shared" si="1"/>
        <v>DM12124</v>
      </c>
      <c r="B38" s="102"/>
      <c r="C38" s="102"/>
      <c r="D38" s="105" t="s">
        <v>28</v>
      </c>
      <c r="E38" s="106"/>
      <c r="F38" s="105" t="s">
        <v>29</v>
      </c>
      <c r="G38" s="106"/>
      <c r="H38" s="104"/>
      <c r="I38" s="103"/>
      <c r="J38" s="6">
        <v>124</v>
      </c>
    </row>
    <row r="39" spans="1:10" ht="15" customHeight="1">
      <c r="A39" s="32" t="str">
        <f t="shared" si="1"/>
        <v>DM12125</v>
      </c>
      <c r="B39" s="102"/>
      <c r="C39" s="102"/>
      <c r="D39" s="105" t="s">
        <v>30</v>
      </c>
      <c r="E39" s="106"/>
      <c r="F39" s="105" t="s">
        <v>31</v>
      </c>
      <c r="G39" s="106"/>
      <c r="H39" s="104"/>
      <c r="I39" s="103"/>
      <c r="J39" s="6">
        <v>125</v>
      </c>
    </row>
    <row r="40" spans="1:10">
      <c r="A40" s="32" t="str">
        <f t="shared" si="1"/>
        <v>DM12126</v>
      </c>
      <c r="B40" s="41" t="s">
        <v>0</v>
      </c>
      <c r="C40" s="82"/>
      <c r="D40" s="76"/>
      <c r="E40" s="74"/>
      <c r="F40" s="74"/>
      <c r="G40" s="77"/>
      <c r="H40" s="75"/>
      <c r="I40" s="93"/>
      <c r="J40" s="6">
        <v>126</v>
      </c>
    </row>
    <row r="41" spans="1:10">
      <c r="A41" s="32" t="str">
        <f t="shared" si="1"/>
        <v>DM12127</v>
      </c>
      <c r="B41" s="41" t="s">
        <v>0</v>
      </c>
      <c r="C41" s="82"/>
      <c r="D41" s="76"/>
      <c r="E41" s="74"/>
      <c r="F41" s="74"/>
      <c r="G41" s="77"/>
      <c r="H41" s="75"/>
      <c r="I41" s="93"/>
      <c r="J41" s="6">
        <v>127</v>
      </c>
    </row>
    <row r="42" spans="1:10">
      <c r="A42" s="32" t="str">
        <f t="shared" si="1"/>
        <v>DM12128</v>
      </c>
      <c r="B42" s="41" t="s">
        <v>0</v>
      </c>
      <c r="C42" s="82"/>
      <c r="D42" s="76"/>
      <c r="E42" s="74"/>
      <c r="F42" s="74"/>
      <c r="G42" s="77"/>
      <c r="H42" s="75"/>
      <c r="I42" s="93"/>
      <c r="J42" s="6">
        <v>128</v>
      </c>
    </row>
    <row r="43" spans="1:10" ht="15.75" thickBot="1">
      <c r="A43" s="32" t="str">
        <f t="shared" si="1"/>
        <v>DM12129</v>
      </c>
      <c r="B43" s="41" t="s">
        <v>0</v>
      </c>
      <c r="C43" s="82"/>
      <c r="D43" s="76"/>
      <c r="E43" s="74"/>
      <c r="F43" s="74"/>
      <c r="G43" s="77"/>
      <c r="H43" s="75"/>
      <c r="I43" s="93"/>
      <c r="J43" s="6">
        <v>129</v>
      </c>
    </row>
    <row r="44" spans="1:10" ht="15.6" customHeight="1">
      <c r="A44" s="134" t="s">
        <v>163</v>
      </c>
      <c r="B44" s="135"/>
      <c r="C44" s="135"/>
      <c r="D44" s="135"/>
      <c r="E44" s="135"/>
      <c r="F44" s="135"/>
      <c r="G44" s="135"/>
      <c r="H44" s="135"/>
      <c r="I44" s="136"/>
    </row>
    <row r="45" spans="1:10" ht="15" customHeight="1">
      <c r="A45" s="32" t="str">
        <f t="shared" ref="A45:A64" si="2">LEFT($C$3, 2) &amp; (MID($C$3, 3, LEN($C$3)) + J45)</f>
        <v>DM12130</v>
      </c>
      <c r="B45" s="151" t="s">
        <v>59</v>
      </c>
      <c r="C45" s="151" t="s">
        <v>58</v>
      </c>
      <c r="D45" s="149" t="s">
        <v>25</v>
      </c>
      <c r="E45" s="150"/>
      <c r="F45" s="149" t="s">
        <v>65</v>
      </c>
      <c r="G45" s="150"/>
      <c r="H45" s="154" t="s">
        <v>60</v>
      </c>
      <c r="I45" s="157" t="s">
        <v>82</v>
      </c>
      <c r="J45" s="6">
        <v>130</v>
      </c>
    </row>
    <row r="46" spans="1:10" ht="15" customHeight="1">
      <c r="A46" s="32" t="str">
        <f t="shared" si="2"/>
        <v>DM12131</v>
      </c>
      <c r="B46" s="152"/>
      <c r="C46" s="152"/>
      <c r="D46" s="149" t="s">
        <v>26</v>
      </c>
      <c r="E46" s="150"/>
      <c r="F46" s="149" t="s">
        <v>27</v>
      </c>
      <c r="G46" s="150"/>
      <c r="H46" s="155"/>
      <c r="I46" s="158"/>
      <c r="J46" s="6">
        <v>131</v>
      </c>
    </row>
    <row r="47" spans="1:10" ht="15" customHeight="1">
      <c r="A47" s="32" t="str">
        <f t="shared" si="2"/>
        <v>DM12132</v>
      </c>
      <c r="B47" s="153"/>
      <c r="C47" s="152"/>
      <c r="D47" s="149" t="s">
        <v>28</v>
      </c>
      <c r="E47" s="150"/>
      <c r="F47" s="149" t="s">
        <v>29</v>
      </c>
      <c r="G47" s="150"/>
      <c r="H47" s="155"/>
      <c r="I47" s="158"/>
      <c r="J47" s="6">
        <v>132</v>
      </c>
    </row>
    <row r="48" spans="1:10">
      <c r="A48" s="32" t="str">
        <f t="shared" si="2"/>
        <v>DM12133</v>
      </c>
      <c r="B48" s="151" t="s">
        <v>61</v>
      </c>
      <c r="C48" s="151" t="s">
        <v>81</v>
      </c>
      <c r="D48" s="160" t="s">
        <v>67</v>
      </c>
      <c r="E48" s="161"/>
      <c r="F48" s="162" t="s">
        <v>66</v>
      </c>
      <c r="G48" s="163"/>
      <c r="H48" s="154" t="s">
        <v>62</v>
      </c>
      <c r="I48" s="157" t="s">
        <v>63</v>
      </c>
      <c r="J48" s="6">
        <v>133</v>
      </c>
    </row>
    <row r="49" spans="1:10">
      <c r="A49" s="32" t="str">
        <f t="shared" si="2"/>
        <v>DM12134</v>
      </c>
      <c r="B49" s="152"/>
      <c r="C49" s="152"/>
      <c r="D49" s="160" t="s">
        <v>69</v>
      </c>
      <c r="E49" s="161"/>
      <c r="F49" s="162" t="s">
        <v>68</v>
      </c>
      <c r="G49" s="163"/>
      <c r="H49" s="155"/>
      <c r="I49" s="158"/>
      <c r="J49" s="6">
        <v>134</v>
      </c>
    </row>
    <row r="50" spans="1:10">
      <c r="A50" s="32" t="str">
        <f t="shared" si="2"/>
        <v>DM12135</v>
      </c>
      <c r="B50" s="152"/>
      <c r="C50" s="152"/>
      <c r="D50" s="160" t="s">
        <v>71</v>
      </c>
      <c r="E50" s="161"/>
      <c r="F50" s="162" t="s">
        <v>70</v>
      </c>
      <c r="G50" s="163"/>
      <c r="H50" s="155"/>
      <c r="I50" s="158"/>
      <c r="J50" s="6">
        <v>135</v>
      </c>
    </row>
    <row r="51" spans="1:10">
      <c r="A51" s="32" t="str">
        <f t="shared" si="2"/>
        <v>DM12136</v>
      </c>
      <c r="B51" s="152"/>
      <c r="C51" s="152"/>
      <c r="D51" s="160" t="s">
        <v>73</v>
      </c>
      <c r="E51" s="161"/>
      <c r="F51" s="162" t="s">
        <v>72</v>
      </c>
      <c r="G51" s="163"/>
      <c r="H51" s="155"/>
      <c r="I51" s="158"/>
      <c r="J51" s="6">
        <v>136</v>
      </c>
    </row>
    <row r="52" spans="1:10">
      <c r="A52" s="32" t="str">
        <f t="shared" si="2"/>
        <v>DM12137</v>
      </c>
      <c r="B52" s="152"/>
      <c r="C52" s="152"/>
      <c r="D52" s="160" t="s">
        <v>77</v>
      </c>
      <c r="E52" s="161"/>
      <c r="F52" s="162" t="s">
        <v>74</v>
      </c>
      <c r="G52" s="163"/>
      <c r="H52" s="155"/>
      <c r="I52" s="158"/>
      <c r="J52" s="6">
        <v>137</v>
      </c>
    </row>
    <row r="53" spans="1:10">
      <c r="A53" s="32" t="str">
        <f t="shared" si="2"/>
        <v>DM12138</v>
      </c>
      <c r="B53" s="152"/>
      <c r="C53" s="152"/>
      <c r="D53" s="160" t="s">
        <v>78</v>
      </c>
      <c r="E53" s="161"/>
      <c r="F53" s="162" t="s">
        <v>75</v>
      </c>
      <c r="G53" s="163"/>
      <c r="H53" s="155"/>
      <c r="I53" s="158"/>
      <c r="J53" s="6">
        <v>138</v>
      </c>
    </row>
    <row r="54" spans="1:10">
      <c r="A54" s="32" t="str">
        <f t="shared" si="2"/>
        <v>DM12139</v>
      </c>
      <c r="B54" s="153"/>
      <c r="C54" s="153"/>
      <c r="D54" s="160" t="s">
        <v>79</v>
      </c>
      <c r="E54" s="161"/>
      <c r="F54" s="162" t="s">
        <v>76</v>
      </c>
      <c r="G54" s="163"/>
      <c r="H54" s="156"/>
      <c r="I54" s="159"/>
      <c r="J54" s="6">
        <v>139</v>
      </c>
    </row>
    <row r="55" spans="1:10">
      <c r="A55" s="32" t="str">
        <f t="shared" si="2"/>
        <v>DM12140</v>
      </c>
      <c r="B55" s="101" t="s">
        <v>164</v>
      </c>
      <c r="C55" s="99" t="s">
        <v>81</v>
      </c>
      <c r="D55" s="83">
        <v>0</v>
      </c>
      <c r="E55" s="83">
        <v>0</v>
      </c>
      <c r="F55" s="83">
        <v>0</v>
      </c>
      <c r="G55" s="99" t="s">
        <v>54</v>
      </c>
      <c r="H55" s="101" t="s">
        <v>165</v>
      </c>
      <c r="I55" s="101" t="s">
        <v>166</v>
      </c>
      <c r="J55" s="6">
        <v>140</v>
      </c>
    </row>
    <row r="56" spans="1:10">
      <c r="A56" s="32" t="str">
        <f t="shared" si="2"/>
        <v>DM12141</v>
      </c>
      <c r="B56" s="101" t="s">
        <v>167</v>
      </c>
      <c r="C56" s="99" t="s">
        <v>81</v>
      </c>
      <c r="D56" s="83">
        <v>0</v>
      </c>
      <c r="E56" s="83">
        <v>0</v>
      </c>
      <c r="F56" s="83">
        <v>0</v>
      </c>
      <c r="G56" s="99" t="s">
        <v>54</v>
      </c>
      <c r="H56" s="101" t="s">
        <v>168</v>
      </c>
      <c r="I56" s="101" t="s">
        <v>166</v>
      </c>
      <c r="J56" s="6">
        <v>141</v>
      </c>
    </row>
    <row r="57" spans="1:10">
      <c r="A57" s="32" t="str">
        <f t="shared" si="2"/>
        <v>DM12142</v>
      </c>
      <c r="B57" s="35" t="s">
        <v>0</v>
      </c>
      <c r="C57" s="64"/>
      <c r="D57" s="47"/>
      <c r="E57" s="48"/>
      <c r="F57" s="48"/>
      <c r="G57" s="49"/>
      <c r="H57" s="34"/>
      <c r="I57" s="33"/>
      <c r="J57" s="6">
        <v>142</v>
      </c>
    </row>
    <row r="58" spans="1:10">
      <c r="A58" s="32" t="str">
        <f t="shared" si="2"/>
        <v>DM12143</v>
      </c>
      <c r="B58" s="35" t="s">
        <v>0</v>
      </c>
      <c r="C58" s="64"/>
      <c r="D58" s="47"/>
      <c r="E58" s="48"/>
      <c r="F58" s="48"/>
      <c r="G58" s="49"/>
      <c r="H58" s="34"/>
      <c r="I58" s="33"/>
      <c r="J58" s="6">
        <v>143</v>
      </c>
    </row>
    <row r="59" spans="1:10">
      <c r="A59" s="32" t="str">
        <f t="shared" si="2"/>
        <v>DM12144</v>
      </c>
      <c r="B59" s="35" t="s">
        <v>0</v>
      </c>
      <c r="C59" s="64"/>
      <c r="D59" s="47"/>
      <c r="E59" s="48"/>
      <c r="F59" s="48"/>
      <c r="G59" s="49"/>
      <c r="H59" s="34"/>
      <c r="I59" s="33"/>
      <c r="J59" s="6">
        <v>144</v>
      </c>
    </row>
    <row r="60" spans="1:10">
      <c r="A60" s="32" t="str">
        <f t="shared" si="2"/>
        <v>DM12145</v>
      </c>
      <c r="B60" s="91" t="s">
        <v>114</v>
      </c>
      <c r="C60" s="99" t="s">
        <v>116</v>
      </c>
      <c r="D60" s="83">
        <v>0</v>
      </c>
      <c r="E60" s="83">
        <v>0</v>
      </c>
      <c r="F60" s="83">
        <v>0</v>
      </c>
      <c r="G60" s="111" t="s">
        <v>253</v>
      </c>
      <c r="H60" s="100" t="s">
        <v>159</v>
      </c>
      <c r="I60" s="101" t="s">
        <v>156</v>
      </c>
      <c r="J60" s="6">
        <v>145</v>
      </c>
    </row>
    <row r="61" spans="1:10" ht="15" customHeight="1">
      <c r="A61" s="32" t="str">
        <f t="shared" si="2"/>
        <v>DM12146</v>
      </c>
      <c r="B61" s="91" t="s">
        <v>191</v>
      </c>
      <c r="C61" s="99" t="s">
        <v>116</v>
      </c>
      <c r="D61" s="61">
        <v>0</v>
      </c>
      <c r="E61" s="61">
        <v>0</v>
      </c>
      <c r="F61" s="96" t="s">
        <v>195</v>
      </c>
      <c r="G61" s="96" t="s">
        <v>195</v>
      </c>
      <c r="H61" s="97" t="s">
        <v>196</v>
      </c>
      <c r="I61" s="98" t="s">
        <v>197</v>
      </c>
      <c r="J61" s="6">
        <v>146</v>
      </c>
    </row>
    <row r="62" spans="1:10" ht="15" customHeight="1">
      <c r="A62" s="32" t="str">
        <f t="shared" si="2"/>
        <v>DM12147</v>
      </c>
      <c r="B62" s="35" t="s">
        <v>0</v>
      </c>
      <c r="C62" s="64"/>
      <c r="D62" s="47"/>
      <c r="E62" s="48"/>
      <c r="F62" s="48"/>
      <c r="G62" s="49"/>
      <c r="H62" s="34"/>
      <c r="I62" s="35"/>
      <c r="J62" s="6">
        <v>147</v>
      </c>
    </row>
    <row r="63" spans="1:10" ht="15" customHeight="1">
      <c r="A63" s="32" t="str">
        <f t="shared" si="2"/>
        <v>DM12148</v>
      </c>
      <c r="B63" s="35" t="s">
        <v>0</v>
      </c>
      <c r="C63" s="64"/>
      <c r="D63" s="47"/>
      <c r="E63" s="48"/>
      <c r="F63" s="48"/>
      <c r="G63" s="49"/>
      <c r="H63" s="34"/>
      <c r="I63" s="35"/>
      <c r="J63" s="6">
        <v>148</v>
      </c>
    </row>
    <row r="64" spans="1:10" ht="15" customHeight="1">
      <c r="A64" s="32" t="str">
        <f t="shared" si="2"/>
        <v>DM12149</v>
      </c>
      <c r="B64" s="35" t="s">
        <v>0</v>
      </c>
      <c r="C64" s="34"/>
      <c r="D64" s="94"/>
      <c r="E64" s="95"/>
      <c r="F64" s="95"/>
      <c r="G64" s="109"/>
      <c r="H64" s="34"/>
      <c r="I64" s="35"/>
      <c r="J64" s="6">
        <v>149</v>
      </c>
    </row>
  </sheetData>
  <mergeCells count="72">
    <mergeCell ref="H48:H54"/>
    <mergeCell ref="I48:I54"/>
    <mergeCell ref="D49:E49"/>
    <mergeCell ref="F49:G49"/>
    <mergeCell ref="D50:E50"/>
    <mergeCell ref="F50:G50"/>
    <mergeCell ref="D51:E51"/>
    <mergeCell ref="F51:G51"/>
    <mergeCell ref="D52:E52"/>
    <mergeCell ref="F52:G52"/>
    <mergeCell ref="B48:B54"/>
    <mergeCell ref="C48:C54"/>
    <mergeCell ref="D48:E48"/>
    <mergeCell ref="F48:G48"/>
    <mergeCell ref="D53:E53"/>
    <mergeCell ref="F53:G53"/>
    <mergeCell ref="D54:E54"/>
    <mergeCell ref="F54:G54"/>
    <mergeCell ref="A44:I44"/>
    <mergeCell ref="B45:B47"/>
    <mergeCell ref="C45:C47"/>
    <mergeCell ref="D45:E45"/>
    <mergeCell ref="F45:G45"/>
    <mergeCell ref="H45:H47"/>
    <mergeCell ref="I45:I47"/>
    <mergeCell ref="D46:E46"/>
    <mergeCell ref="F46:G46"/>
    <mergeCell ref="D47:E47"/>
    <mergeCell ref="F47:G47"/>
    <mergeCell ref="B26:B27"/>
    <mergeCell ref="C26:C27"/>
    <mergeCell ref="D26:E26"/>
    <mergeCell ref="F26:G26"/>
    <mergeCell ref="I26:I27"/>
    <mergeCell ref="D27:E27"/>
    <mergeCell ref="F27:G27"/>
    <mergeCell ref="H26:H27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F23:G23"/>
    <mergeCell ref="B17:B23"/>
    <mergeCell ref="C17:C23"/>
    <mergeCell ref="D17:E17"/>
    <mergeCell ref="F17:G17"/>
    <mergeCell ref="D22:E22"/>
    <mergeCell ref="F22:G22"/>
    <mergeCell ref="D23:E23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A6:I6"/>
    <mergeCell ref="B1:I1"/>
    <mergeCell ref="D2:I2"/>
    <mergeCell ref="A3:B3"/>
    <mergeCell ref="A4:B4"/>
    <mergeCell ref="D5:G5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9FBB-B650-446A-9B10-4085AF2FB485}">
  <dimension ref="A1:J357"/>
  <sheetViews>
    <sheetView showGridLines="0" topLeftCell="A307" zoomScale="85" zoomScaleNormal="85" zoomScaleSheetLayoutView="75" workbookViewId="0">
      <selection activeCell="M9" sqref="M9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37" t="s">
        <v>50</v>
      </c>
      <c r="C1" s="138"/>
      <c r="D1" s="138"/>
      <c r="E1" s="138"/>
      <c r="F1" s="138"/>
      <c r="G1" s="138"/>
      <c r="H1" s="138"/>
      <c r="I1" s="139"/>
    </row>
    <row r="2" spans="1:10">
      <c r="A2" s="50"/>
      <c r="B2" s="36" t="s">
        <v>9</v>
      </c>
      <c r="C2" s="63"/>
      <c r="D2" s="140" t="str">
        <f>Cover!C13</f>
        <v>CIM Equipment spec.</v>
      </c>
      <c r="E2" s="140"/>
      <c r="F2" s="140"/>
      <c r="G2" s="140"/>
      <c r="H2" s="140"/>
      <c r="I2" s="141"/>
    </row>
    <row r="3" spans="1:10" ht="15" customHeight="1">
      <c r="A3" s="142" t="s">
        <v>190</v>
      </c>
      <c r="B3" s="143"/>
      <c r="C3" s="58" t="s">
        <v>250</v>
      </c>
      <c r="D3" s="58"/>
      <c r="F3" s="6"/>
      <c r="G3" s="6"/>
      <c r="I3" s="37"/>
    </row>
    <row r="4" spans="1:10" ht="15.6" customHeight="1">
      <c r="A4" s="144"/>
      <c r="B4" s="145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189</v>
      </c>
      <c r="B5" s="39" t="s">
        <v>4</v>
      </c>
      <c r="C5" s="39" t="s">
        <v>53</v>
      </c>
      <c r="D5" s="146" t="s">
        <v>52</v>
      </c>
      <c r="E5" s="147"/>
      <c r="F5" s="147"/>
      <c r="G5" s="148"/>
      <c r="H5" s="30" t="s">
        <v>5</v>
      </c>
      <c r="I5" s="40" t="s">
        <v>6</v>
      </c>
    </row>
    <row r="6" spans="1:10" ht="15.6" customHeight="1">
      <c r="A6" s="134" t="s">
        <v>192</v>
      </c>
      <c r="B6" s="135"/>
      <c r="C6" s="135"/>
      <c r="D6" s="135"/>
      <c r="E6" s="135"/>
      <c r="F6" s="135"/>
      <c r="G6" s="135"/>
      <c r="H6" s="135"/>
      <c r="I6" s="136"/>
    </row>
    <row r="7" spans="1:10" ht="151.5" customHeight="1">
      <c r="A7" s="32" t="str">
        <f t="shared" ref="A7:A12" si="0">LEFT($C$3, 2) &amp; (MID($C$3, 3, LEN($C$3)) + J7)</f>
        <v>DM13000</v>
      </c>
      <c r="B7" s="59" t="s">
        <v>51</v>
      </c>
      <c r="C7" s="66" t="s">
        <v>81</v>
      </c>
      <c r="D7" s="60" t="s">
        <v>2</v>
      </c>
      <c r="E7" s="61" t="s">
        <v>2</v>
      </c>
      <c r="F7" s="96" t="s">
        <v>198</v>
      </c>
      <c r="G7" s="96" t="s">
        <v>54</v>
      </c>
      <c r="H7" s="65" t="s">
        <v>201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DM13001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198</v>
      </c>
      <c r="G8" s="96" t="s">
        <v>54</v>
      </c>
      <c r="H8" s="65" t="s">
        <v>201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DM13002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DM13003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DM13004</v>
      </c>
      <c r="B11" s="62" t="s">
        <v>206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193</v>
      </c>
      <c r="H11" s="67" t="s">
        <v>208</v>
      </c>
      <c r="I11" s="43"/>
      <c r="J11" s="107" t="s">
        <v>205</v>
      </c>
    </row>
    <row r="12" spans="1:10" ht="151.5" customHeight="1" thickBot="1">
      <c r="A12" s="32" t="str">
        <f t="shared" si="0"/>
        <v>DM13005</v>
      </c>
      <c r="B12" s="62" t="s">
        <v>210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193</v>
      </c>
      <c r="H12" s="67" t="s">
        <v>211</v>
      </c>
      <c r="I12" s="43"/>
      <c r="J12" s="107" t="s">
        <v>209</v>
      </c>
    </row>
    <row r="13" spans="1:10" ht="15.6" customHeight="1">
      <c r="A13" s="134" t="s">
        <v>118</v>
      </c>
      <c r="B13" s="135"/>
      <c r="C13" s="135"/>
      <c r="D13" s="135"/>
      <c r="E13" s="135"/>
      <c r="F13" s="135"/>
      <c r="G13" s="135"/>
      <c r="H13" s="135"/>
      <c r="I13" s="136"/>
    </row>
    <row r="14" spans="1:10">
      <c r="A14" s="32" t="str">
        <f t="shared" ref="A14:A63" si="1">LEFT($C$3, 2) &amp; (MID($C$3, 3, LEN($C$3)) + J14)</f>
        <v>DM13100</v>
      </c>
      <c r="B14" s="151" t="s">
        <v>59</v>
      </c>
      <c r="C14" s="151" t="s">
        <v>81</v>
      </c>
      <c r="D14" s="149" t="s">
        <v>25</v>
      </c>
      <c r="E14" s="150"/>
      <c r="F14" s="149" t="s">
        <v>65</v>
      </c>
      <c r="G14" s="150"/>
      <c r="H14" s="154" t="s">
        <v>60</v>
      </c>
      <c r="I14" s="157" t="s">
        <v>82</v>
      </c>
      <c r="J14" s="6">
        <v>100</v>
      </c>
    </row>
    <row r="15" spans="1:10">
      <c r="A15" s="32" t="str">
        <f t="shared" si="1"/>
        <v>DM13101</v>
      </c>
      <c r="B15" s="152"/>
      <c r="C15" s="152"/>
      <c r="D15" s="149" t="s">
        <v>26</v>
      </c>
      <c r="E15" s="150"/>
      <c r="F15" s="149" t="s">
        <v>27</v>
      </c>
      <c r="G15" s="150"/>
      <c r="H15" s="155"/>
      <c r="I15" s="158"/>
      <c r="J15" s="6">
        <v>101</v>
      </c>
    </row>
    <row r="16" spans="1:10">
      <c r="A16" s="32" t="str">
        <f t="shared" si="1"/>
        <v>DM13102</v>
      </c>
      <c r="B16" s="153"/>
      <c r="C16" s="152"/>
      <c r="D16" s="149" t="s">
        <v>28</v>
      </c>
      <c r="E16" s="150"/>
      <c r="F16" s="149" t="s">
        <v>29</v>
      </c>
      <c r="G16" s="150"/>
      <c r="H16" s="155"/>
      <c r="I16" s="158"/>
      <c r="J16" s="6">
        <v>102</v>
      </c>
    </row>
    <row r="17" spans="1:10" ht="15.75" customHeight="1">
      <c r="A17" s="32" t="str">
        <f t="shared" si="1"/>
        <v>DM13103</v>
      </c>
      <c r="B17" s="151" t="s">
        <v>61</v>
      </c>
      <c r="C17" s="151" t="s">
        <v>81</v>
      </c>
      <c r="D17" s="160" t="s">
        <v>67</v>
      </c>
      <c r="E17" s="161"/>
      <c r="F17" s="162" t="s">
        <v>66</v>
      </c>
      <c r="G17" s="163"/>
      <c r="H17" s="154" t="s">
        <v>62</v>
      </c>
      <c r="I17" s="157" t="s">
        <v>63</v>
      </c>
      <c r="J17" s="6">
        <v>103</v>
      </c>
    </row>
    <row r="18" spans="1:10" ht="15.75" customHeight="1">
      <c r="A18" s="32" t="str">
        <f t="shared" si="1"/>
        <v>DM13104</v>
      </c>
      <c r="B18" s="152"/>
      <c r="C18" s="152"/>
      <c r="D18" s="160" t="s">
        <v>69</v>
      </c>
      <c r="E18" s="161"/>
      <c r="F18" s="162" t="s">
        <v>68</v>
      </c>
      <c r="G18" s="163"/>
      <c r="H18" s="155"/>
      <c r="I18" s="158"/>
      <c r="J18" s="6">
        <v>104</v>
      </c>
    </row>
    <row r="19" spans="1:10" ht="15.75" customHeight="1">
      <c r="A19" s="32" t="str">
        <f t="shared" si="1"/>
        <v>DM13105</v>
      </c>
      <c r="B19" s="152"/>
      <c r="C19" s="152"/>
      <c r="D19" s="160" t="s">
        <v>71</v>
      </c>
      <c r="E19" s="161"/>
      <c r="F19" s="162" t="s">
        <v>70</v>
      </c>
      <c r="G19" s="163"/>
      <c r="H19" s="155"/>
      <c r="I19" s="158"/>
      <c r="J19" s="6">
        <v>105</v>
      </c>
    </row>
    <row r="20" spans="1:10" ht="15.75" customHeight="1">
      <c r="A20" s="32" t="str">
        <f t="shared" si="1"/>
        <v>DM13106</v>
      </c>
      <c r="B20" s="152"/>
      <c r="C20" s="152"/>
      <c r="D20" s="160" t="s">
        <v>73</v>
      </c>
      <c r="E20" s="161"/>
      <c r="F20" s="162" t="s">
        <v>72</v>
      </c>
      <c r="G20" s="163"/>
      <c r="H20" s="155"/>
      <c r="I20" s="158"/>
      <c r="J20" s="6">
        <v>106</v>
      </c>
    </row>
    <row r="21" spans="1:10" ht="15.75" customHeight="1">
      <c r="A21" s="32" t="str">
        <f t="shared" si="1"/>
        <v>DM13107</v>
      </c>
      <c r="B21" s="152"/>
      <c r="C21" s="152"/>
      <c r="D21" s="160" t="s">
        <v>77</v>
      </c>
      <c r="E21" s="161"/>
      <c r="F21" s="162" t="s">
        <v>74</v>
      </c>
      <c r="G21" s="163"/>
      <c r="H21" s="155"/>
      <c r="I21" s="158"/>
      <c r="J21" s="6">
        <v>107</v>
      </c>
    </row>
    <row r="22" spans="1:10" ht="15.75" customHeight="1">
      <c r="A22" s="32" t="str">
        <f t="shared" si="1"/>
        <v>DM13108</v>
      </c>
      <c r="B22" s="152"/>
      <c r="C22" s="152"/>
      <c r="D22" s="160" t="s">
        <v>78</v>
      </c>
      <c r="E22" s="161"/>
      <c r="F22" s="162" t="s">
        <v>75</v>
      </c>
      <c r="G22" s="163"/>
      <c r="H22" s="155"/>
      <c r="I22" s="158"/>
      <c r="J22" s="6">
        <v>108</v>
      </c>
    </row>
    <row r="23" spans="1:10" ht="15.75" customHeight="1">
      <c r="A23" s="32" t="str">
        <f t="shared" si="1"/>
        <v>DM13109</v>
      </c>
      <c r="B23" s="153"/>
      <c r="C23" s="153"/>
      <c r="D23" s="160" t="s">
        <v>79</v>
      </c>
      <c r="E23" s="161"/>
      <c r="F23" s="162" t="s">
        <v>76</v>
      </c>
      <c r="G23" s="163"/>
      <c r="H23" s="156"/>
      <c r="I23" s="159"/>
      <c r="J23" s="6">
        <v>109</v>
      </c>
    </row>
    <row r="24" spans="1:10" ht="15.75" customHeight="1">
      <c r="A24" s="32" t="str">
        <f t="shared" si="1"/>
        <v>DM13110</v>
      </c>
      <c r="B24" s="151" t="s">
        <v>80</v>
      </c>
      <c r="C24" s="151" t="s">
        <v>81</v>
      </c>
      <c r="D24" s="149" t="s">
        <v>25</v>
      </c>
      <c r="E24" s="150"/>
      <c r="F24" s="149" t="s">
        <v>65</v>
      </c>
      <c r="G24" s="150"/>
      <c r="H24" s="154" t="s">
        <v>83</v>
      </c>
      <c r="I24" s="157" t="s">
        <v>82</v>
      </c>
      <c r="J24" s="6">
        <v>110</v>
      </c>
    </row>
    <row r="25" spans="1:10" ht="15.75" customHeight="1">
      <c r="A25" s="32" t="str">
        <f t="shared" si="1"/>
        <v>DM13111</v>
      </c>
      <c r="B25" s="152"/>
      <c r="C25" s="152"/>
      <c r="D25" s="149" t="s">
        <v>26</v>
      </c>
      <c r="E25" s="150"/>
      <c r="F25" s="149" t="s">
        <v>27</v>
      </c>
      <c r="G25" s="150"/>
      <c r="H25" s="155"/>
      <c r="I25" s="158"/>
      <c r="J25" s="6">
        <v>111</v>
      </c>
    </row>
    <row r="26" spans="1:10" ht="15.75" customHeight="1">
      <c r="A26" s="32" t="str">
        <f t="shared" si="1"/>
        <v>DM13112</v>
      </c>
      <c r="B26" s="153"/>
      <c r="C26" s="153"/>
      <c r="D26" s="149" t="s">
        <v>28</v>
      </c>
      <c r="E26" s="150"/>
      <c r="F26" s="149" t="s">
        <v>29</v>
      </c>
      <c r="G26" s="150"/>
      <c r="H26" s="156"/>
      <c r="I26" s="159"/>
      <c r="J26" s="6">
        <v>112</v>
      </c>
    </row>
    <row r="27" spans="1:10" ht="15.75" customHeight="1">
      <c r="A27" s="32" t="str">
        <f t="shared" si="1"/>
        <v>DM13113</v>
      </c>
      <c r="B27" s="151" t="s">
        <v>84</v>
      </c>
      <c r="C27" s="151" t="s">
        <v>81</v>
      </c>
      <c r="D27" s="149" t="s">
        <v>25</v>
      </c>
      <c r="E27" s="150"/>
      <c r="F27" s="149" t="s">
        <v>65</v>
      </c>
      <c r="G27" s="150"/>
      <c r="H27" s="154" t="s">
        <v>84</v>
      </c>
      <c r="I27" s="157" t="s">
        <v>85</v>
      </c>
      <c r="J27" s="6">
        <v>113</v>
      </c>
    </row>
    <row r="28" spans="1:10" ht="15.75" customHeight="1">
      <c r="A28" s="32" t="str">
        <f t="shared" si="1"/>
        <v>DM13114</v>
      </c>
      <c r="B28" s="152"/>
      <c r="C28" s="152"/>
      <c r="D28" s="149" t="s">
        <v>26</v>
      </c>
      <c r="E28" s="150"/>
      <c r="F28" s="149" t="s">
        <v>27</v>
      </c>
      <c r="G28" s="150"/>
      <c r="H28" s="155"/>
      <c r="I28" s="158"/>
      <c r="J28" s="6">
        <v>114</v>
      </c>
    </row>
    <row r="29" spans="1:10" ht="15.75" customHeight="1">
      <c r="A29" s="32" t="str">
        <f t="shared" si="1"/>
        <v>DM13115</v>
      </c>
      <c r="B29" s="152"/>
      <c r="C29" s="152"/>
      <c r="D29" s="149" t="s">
        <v>28</v>
      </c>
      <c r="E29" s="150"/>
      <c r="F29" s="149" t="s">
        <v>29</v>
      </c>
      <c r="G29" s="150"/>
      <c r="H29" s="155"/>
      <c r="I29" s="158"/>
      <c r="J29" s="6">
        <v>115</v>
      </c>
    </row>
    <row r="30" spans="1:10" ht="15.75" customHeight="1">
      <c r="A30" s="32" t="str">
        <f t="shared" si="1"/>
        <v>DM13116</v>
      </c>
      <c r="B30" s="152"/>
      <c r="C30" s="152"/>
      <c r="D30" s="149" t="s">
        <v>30</v>
      </c>
      <c r="E30" s="150"/>
      <c r="F30" s="149" t="s">
        <v>31</v>
      </c>
      <c r="G30" s="150"/>
      <c r="H30" s="155"/>
      <c r="I30" s="158"/>
      <c r="J30" s="6">
        <v>116</v>
      </c>
    </row>
    <row r="31" spans="1:10" ht="15.75" customHeight="1">
      <c r="A31" s="32" t="str">
        <f t="shared" si="1"/>
        <v>DM13117</v>
      </c>
      <c r="B31" s="152"/>
      <c r="C31" s="152"/>
      <c r="D31" s="149" t="s">
        <v>11</v>
      </c>
      <c r="E31" s="150"/>
      <c r="F31" s="149" t="s">
        <v>12</v>
      </c>
      <c r="G31" s="150"/>
      <c r="H31" s="155"/>
      <c r="I31" s="158"/>
      <c r="J31" s="6">
        <v>117</v>
      </c>
    </row>
    <row r="32" spans="1:10" ht="15.75" customHeight="1">
      <c r="A32" s="32" t="str">
        <f t="shared" si="1"/>
        <v>DM13118</v>
      </c>
      <c r="B32" s="152"/>
      <c r="C32" s="152"/>
      <c r="D32" s="149" t="s">
        <v>13</v>
      </c>
      <c r="E32" s="150"/>
      <c r="F32" s="149" t="s">
        <v>14</v>
      </c>
      <c r="G32" s="150"/>
      <c r="H32" s="155"/>
      <c r="I32" s="158"/>
      <c r="J32" s="6">
        <v>118</v>
      </c>
    </row>
    <row r="33" spans="1:10" ht="15.75" customHeight="1">
      <c r="A33" s="32" t="str">
        <f t="shared" si="1"/>
        <v>DM13119</v>
      </c>
      <c r="B33" s="152"/>
      <c r="C33" s="152"/>
      <c r="D33" s="149" t="s">
        <v>16</v>
      </c>
      <c r="E33" s="150"/>
      <c r="F33" s="149" t="s">
        <v>17</v>
      </c>
      <c r="G33" s="150"/>
      <c r="H33" s="155"/>
      <c r="I33" s="158"/>
      <c r="J33" s="6">
        <v>119</v>
      </c>
    </row>
    <row r="34" spans="1:10" ht="15.75" customHeight="1">
      <c r="A34" s="32" t="str">
        <f t="shared" si="1"/>
        <v>DM13120</v>
      </c>
      <c r="B34" s="152"/>
      <c r="C34" s="152"/>
      <c r="D34" s="149" t="s">
        <v>18</v>
      </c>
      <c r="E34" s="150"/>
      <c r="F34" s="149" t="s">
        <v>19</v>
      </c>
      <c r="G34" s="150"/>
      <c r="H34" s="155"/>
      <c r="I34" s="158"/>
      <c r="J34" s="6">
        <v>120</v>
      </c>
    </row>
    <row r="35" spans="1:10" ht="15.75" customHeight="1">
      <c r="A35" s="32" t="str">
        <f t="shared" si="1"/>
        <v>DM13121</v>
      </c>
      <c r="B35" s="152"/>
      <c r="C35" s="152"/>
      <c r="D35" s="149" t="s">
        <v>20</v>
      </c>
      <c r="E35" s="150"/>
      <c r="F35" s="149" t="s">
        <v>21</v>
      </c>
      <c r="G35" s="150"/>
      <c r="H35" s="155"/>
      <c r="I35" s="158"/>
      <c r="J35" s="6">
        <v>121</v>
      </c>
    </row>
    <row r="36" spans="1:10" ht="15.75" customHeight="1">
      <c r="A36" s="32" t="str">
        <f t="shared" si="1"/>
        <v>DM13122</v>
      </c>
      <c r="B36" s="152"/>
      <c r="C36" s="152"/>
      <c r="D36" s="149" t="s">
        <v>22</v>
      </c>
      <c r="E36" s="150"/>
      <c r="F36" s="149" t="s">
        <v>23</v>
      </c>
      <c r="G36" s="150"/>
      <c r="H36" s="155"/>
      <c r="I36" s="158"/>
      <c r="J36" s="6">
        <v>122</v>
      </c>
    </row>
    <row r="37" spans="1:10" ht="15.75" customHeight="1">
      <c r="A37" s="32" t="str">
        <f t="shared" si="1"/>
        <v>DM13123</v>
      </c>
      <c r="B37" s="152"/>
      <c r="C37" s="152"/>
      <c r="D37" s="149" t="s">
        <v>86</v>
      </c>
      <c r="E37" s="150"/>
      <c r="F37" s="149" t="s">
        <v>100</v>
      </c>
      <c r="G37" s="150"/>
      <c r="H37" s="155"/>
      <c r="I37" s="158"/>
      <c r="J37" s="6">
        <v>123</v>
      </c>
    </row>
    <row r="38" spans="1:10" ht="15.75" customHeight="1">
      <c r="A38" s="32" t="str">
        <f t="shared" si="1"/>
        <v>DM13124</v>
      </c>
      <c r="B38" s="152"/>
      <c r="C38" s="152"/>
      <c r="D38" s="149" t="s">
        <v>87</v>
      </c>
      <c r="E38" s="150"/>
      <c r="F38" s="149" t="s">
        <v>101</v>
      </c>
      <c r="G38" s="150"/>
      <c r="H38" s="155"/>
      <c r="I38" s="158"/>
      <c r="J38" s="6">
        <v>124</v>
      </c>
    </row>
    <row r="39" spans="1:10" ht="15.75" customHeight="1">
      <c r="A39" s="32" t="str">
        <f t="shared" si="1"/>
        <v>DM13125</v>
      </c>
      <c r="B39" s="152"/>
      <c r="C39" s="152"/>
      <c r="D39" s="149" t="s">
        <v>88</v>
      </c>
      <c r="E39" s="150"/>
      <c r="F39" s="149" t="s">
        <v>102</v>
      </c>
      <c r="G39" s="150"/>
      <c r="H39" s="155"/>
      <c r="I39" s="158"/>
      <c r="J39" s="6">
        <v>125</v>
      </c>
    </row>
    <row r="40" spans="1:10" ht="15.75" customHeight="1">
      <c r="A40" s="32" t="str">
        <f t="shared" si="1"/>
        <v>DM13126</v>
      </c>
      <c r="B40" s="152"/>
      <c r="C40" s="152"/>
      <c r="D40" s="149" t="s">
        <v>89</v>
      </c>
      <c r="E40" s="150"/>
      <c r="F40" s="149" t="s">
        <v>103</v>
      </c>
      <c r="G40" s="150"/>
      <c r="H40" s="155"/>
      <c r="I40" s="158"/>
      <c r="J40" s="6">
        <v>126</v>
      </c>
    </row>
    <row r="41" spans="1:10" ht="15.75" customHeight="1">
      <c r="A41" s="32" t="str">
        <f t="shared" si="1"/>
        <v>DM13127</v>
      </c>
      <c r="B41" s="152"/>
      <c r="C41" s="152"/>
      <c r="D41" s="149" t="s">
        <v>90</v>
      </c>
      <c r="E41" s="150"/>
      <c r="F41" s="149" t="s">
        <v>104</v>
      </c>
      <c r="G41" s="150"/>
      <c r="H41" s="155"/>
      <c r="I41" s="158"/>
      <c r="J41" s="6">
        <v>127</v>
      </c>
    </row>
    <row r="42" spans="1:10" ht="15.75" customHeight="1">
      <c r="A42" s="32" t="str">
        <f t="shared" si="1"/>
        <v>DM13128</v>
      </c>
      <c r="B42" s="152"/>
      <c r="C42" s="152"/>
      <c r="D42" s="149" t="s">
        <v>91</v>
      </c>
      <c r="E42" s="150"/>
      <c r="F42" s="149" t="s">
        <v>105</v>
      </c>
      <c r="G42" s="150"/>
      <c r="H42" s="155"/>
      <c r="I42" s="158"/>
      <c r="J42" s="6">
        <v>128</v>
      </c>
    </row>
    <row r="43" spans="1:10" ht="15.75" customHeight="1">
      <c r="A43" s="32" t="str">
        <f t="shared" si="1"/>
        <v>DM13129</v>
      </c>
      <c r="B43" s="152"/>
      <c r="C43" s="152"/>
      <c r="D43" s="149" t="s">
        <v>92</v>
      </c>
      <c r="E43" s="150"/>
      <c r="F43" s="149" t="s">
        <v>106</v>
      </c>
      <c r="G43" s="150"/>
      <c r="H43" s="155"/>
      <c r="I43" s="158"/>
      <c r="J43" s="6">
        <v>129</v>
      </c>
    </row>
    <row r="44" spans="1:10" ht="15.75" customHeight="1">
      <c r="A44" s="32" t="str">
        <f t="shared" si="1"/>
        <v>DM13130</v>
      </c>
      <c r="B44" s="152"/>
      <c r="C44" s="152"/>
      <c r="D44" s="149" t="s">
        <v>93</v>
      </c>
      <c r="E44" s="150"/>
      <c r="F44" s="149" t="s">
        <v>107</v>
      </c>
      <c r="G44" s="150"/>
      <c r="H44" s="155"/>
      <c r="I44" s="158"/>
      <c r="J44" s="6">
        <v>130</v>
      </c>
    </row>
    <row r="45" spans="1:10" ht="15.75" customHeight="1">
      <c r="A45" s="32" t="str">
        <f t="shared" si="1"/>
        <v>DM13131</v>
      </c>
      <c r="B45" s="152"/>
      <c r="C45" s="152"/>
      <c r="D45" s="149" t="s">
        <v>94</v>
      </c>
      <c r="E45" s="150"/>
      <c r="F45" s="149" t="s">
        <v>108</v>
      </c>
      <c r="G45" s="150"/>
      <c r="H45" s="155"/>
      <c r="I45" s="158"/>
      <c r="J45" s="6">
        <v>131</v>
      </c>
    </row>
    <row r="46" spans="1:10" ht="15.75" customHeight="1">
      <c r="A46" s="32" t="str">
        <f t="shared" si="1"/>
        <v>DM13132</v>
      </c>
      <c r="B46" s="152"/>
      <c r="C46" s="152"/>
      <c r="D46" s="149" t="s">
        <v>95</v>
      </c>
      <c r="E46" s="150"/>
      <c r="F46" s="149" t="s">
        <v>109</v>
      </c>
      <c r="G46" s="150"/>
      <c r="H46" s="155"/>
      <c r="I46" s="158"/>
      <c r="J46" s="6">
        <v>132</v>
      </c>
    </row>
    <row r="47" spans="1:10" ht="15.75" customHeight="1">
      <c r="A47" s="32" t="str">
        <f t="shared" si="1"/>
        <v>DM13133</v>
      </c>
      <c r="B47" s="152"/>
      <c r="C47" s="152"/>
      <c r="D47" s="149" t="s">
        <v>96</v>
      </c>
      <c r="E47" s="150"/>
      <c r="F47" s="149" t="s">
        <v>110</v>
      </c>
      <c r="G47" s="150"/>
      <c r="H47" s="155"/>
      <c r="I47" s="158"/>
      <c r="J47" s="6">
        <v>133</v>
      </c>
    </row>
    <row r="48" spans="1:10" ht="15.75" customHeight="1">
      <c r="A48" s="32" t="str">
        <f t="shared" si="1"/>
        <v>DM13134</v>
      </c>
      <c r="B48" s="152"/>
      <c r="C48" s="152"/>
      <c r="D48" s="149" t="s">
        <v>97</v>
      </c>
      <c r="E48" s="150"/>
      <c r="F48" s="149" t="s">
        <v>111</v>
      </c>
      <c r="G48" s="150"/>
      <c r="H48" s="155"/>
      <c r="I48" s="158"/>
      <c r="J48" s="6">
        <v>134</v>
      </c>
    </row>
    <row r="49" spans="1:10" ht="15.75" customHeight="1">
      <c r="A49" s="32" t="str">
        <f t="shared" si="1"/>
        <v>DM13135</v>
      </c>
      <c r="B49" s="152"/>
      <c r="C49" s="152"/>
      <c r="D49" s="149" t="s">
        <v>98</v>
      </c>
      <c r="E49" s="150"/>
      <c r="F49" s="149" t="s">
        <v>112</v>
      </c>
      <c r="G49" s="150"/>
      <c r="H49" s="155"/>
      <c r="I49" s="158"/>
      <c r="J49" s="6">
        <v>135</v>
      </c>
    </row>
    <row r="50" spans="1:10" ht="15.75" customHeight="1">
      <c r="A50" s="32" t="str">
        <f t="shared" si="1"/>
        <v>DM13136</v>
      </c>
      <c r="B50" s="153"/>
      <c r="C50" s="153"/>
      <c r="D50" s="149" t="s">
        <v>99</v>
      </c>
      <c r="E50" s="150"/>
      <c r="F50" s="149" t="s">
        <v>113</v>
      </c>
      <c r="G50" s="150"/>
      <c r="H50" s="156"/>
      <c r="I50" s="159"/>
      <c r="J50" s="6">
        <v>136</v>
      </c>
    </row>
    <row r="51" spans="1:10" ht="15.75" customHeight="1">
      <c r="A51" s="32" t="str">
        <f t="shared" si="1"/>
        <v>DM13137</v>
      </c>
      <c r="B51" s="41" t="s">
        <v>0</v>
      </c>
      <c r="C51" s="73"/>
      <c r="D51" s="92"/>
      <c r="E51" s="56"/>
      <c r="F51" s="56"/>
      <c r="G51" s="56"/>
      <c r="H51" s="97"/>
      <c r="I51" s="98"/>
      <c r="J51" s="6">
        <v>137</v>
      </c>
    </row>
    <row r="52" spans="1:10" ht="15.75" customHeight="1">
      <c r="A52" s="32" t="str">
        <f t="shared" si="1"/>
        <v>DM13138</v>
      </c>
      <c r="B52" s="41" t="s">
        <v>0</v>
      </c>
      <c r="C52" s="73"/>
      <c r="D52" s="92"/>
      <c r="E52" s="56"/>
      <c r="F52" s="56"/>
      <c r="G52" s="56"/>
      <c r="H52" s="97"/>
      <c r="I52" s="98"/>
      <c r="J52" s="6">
        <v>138</v>
      </c>
    </row>
    <row r="53" spans="1:10" ht="15.75" customHeight="1">
      <c r="A53" s="32" t="str">
        <f t="shared" si="1"/>
        <v>DM13139</v>
      </c>
      <c r="B53" s="41" t="s">
        <v>0</v>
      </c>
      <c r="C53" s="73"/>
      <c r="D53" s="92"/>
      <c r="E53" s="56"/>
      <c r="F53" s="56"/>
      <c r="G53" s="56"/>
      <c r="H53" s="97"/>
      <c r="I53" s="98"/>
      <c r="J53" s="6">
        <v>139</v>
      </c>
    </row>
    <row r="54" spans="1:10" ht="15.75" customHeight="1">
      <c r="A54" s="32" t="str">
        <f t="shared" si="1"/>
        <v>DM13140</v>
      </c>
      <c r="B54" s="41" t="s">
        <v>0</v>
      </c>
      <c r="C54" s="73"/>
      <c r="D54" s="92"/>
      <c r="E54" s="56"/>
      <c r="F54" s="56"/>
      <c r="G54" s="56"/>
      <c r="H54" s="97"/>
      <c r="I54" s="98"/>
      <c r="J54" s="6">
        <v>140</v>
      </c>
    </row>
    <row r="55" spans="1:10" ht="15.75" customHeight="1">
      <c r="A55" s="32" t="str">
        <f t="shared" si="1"/>
        <v>DM13141</v>
      </c>
      <c r="B55" s="41" t="s">
        <v>0</v>
      </c>
      <c r="C55" s="73"/>
      <c r="D55" s="92"/>
      <c r="E55" s="56"/>
      <c r="F55" s="56"/>
      <c r="G55" s="56"/>
      <c r="H55" s="97"/>
      <c r="I55" s="98"/>
      <c r="J55" s="6">
        <v>141</v>
      </c>
    </row>
    <row r="56" spans="1:10" ht="15.75" customHeight="1">
      <c r="A56" s="32" t="str">
        <f t="shared" si="1"/>
        <v>DM13142</v>
      </c>
      <c r="B56" s="41" t="s">
        <v>0</v>
      </c>
      <c r="C56" s="73"/>
      <c r="D56" s="92"/>
      <c r="E56" s="56"/>
      <c r="F56" s="56"/>
      <c r="G56" s="56"/>
      <c r="H56" s="97"/>
      <c r="I56" s="98"/>
      <c r="J56" s="6">
        <v>142</v>
      </c>
    </row>
    <row r="57" spans="1:10" ht="15.75" customHeight="1">
      <c r="A57" s="32" t="str">
        <f t="shared" si="1"/>
        <v>DM13143</v>
      </c>
      <c r="B57" s="91" t="s">
        <v>114</v>
      </c>
      <c r="C57" s="73" t="s">
        <v>116</v>
      </c>
      <c r="D57" s="60">
        <v>0</v>
      </c>
      <c r="E57" s="61">
        <v>0</v>
      </c>
      <c r="F57" s="61">
        <v>0</v>
      </c>
      <c r="G57" s="111" t="s">
        <v>253</v>
      </c>
      <c r="H57" s="97" t="s">
        <v>159</v>
      </c>
      <c r="I57" s="98" t="s">
        <v>156</v>
      </c>
      <c r="J57" s="6">
        <v>143</v>
      </c>
    </row>
    <row r="58" spans="1:10" ht="15.75" customHeight="1">
      <c r="A58" s="32" t="str">
        <f t="shared" si="1"/>
        <v>DM13144</v>
      </c>
      <c r="B58" s="91" t="s">
        <v>191</v>
      </c>
      <c r="C58" s="99" t="s">
        <v>116</v>
      </c>
      <c r="D58" s="61">
        <v>0</v>
      </c>
      <c r="E58" s="61">
        <v>0</v>
      </c>
      <c r="F58" s="96" t="s">
        <v>195</v>
      </c>
      <c r="G58" s="96" t="s">
        <v>195</v>
      </c>
      <c r="H58" s="97" t="s">
        <v>196</v>
      </c>
      <c r="I58" s="98" t="s">
        <v>197</v>
      </c>
      <c r="J58" s="6">
        <v>144</v>
      </c>
    </row>
    <row r="59" spans="1:10" ht="15.75" customHeight="1">
      <c r="A59" s="32" t="str">
        <f t="shared" si="1"/>
        <v>DM13145</v>
      </c>
      <c r="B59" s="41" t="s">
        <v>0</v>
      </c>
      <c r="C59" s="73"/>
      <c r="D59" s="92"/>
      <c r="E59" s="56"/>
      <c r="F59" s="56"/>
      <c r="G59" s="56"/>
      <c r="H59" s="97"/>
      <c r="I59" s="98"/>
      <c r="J59" s="6">
        <v>145</v>
      </c>
    </row>
    <row r="60" spans="1:10" ht="15.75" customHeight="1">
      <c r="A60" s="32" t="str">
        <f t="shared" si="1"/>
        <v>DM13146</v>
      </c>
      <c r="B60" s="41" t="s">
        <v>0</v>
      </c>
      <c r="C60" s="73"/>
      <c r="D60" s="92"/>
      <c r="E60" s="56"/>
      <c r="F60" s="56"/>
      <c r="G60" s="56"/>
      <c r="H60" s="97"/>
      <c r="I60" s="98"/>
      <c r="J60" s="6">
        <v>146</v>
      </c>
    </row>
    <row r="61" spans="1:10" ht="15.75" customHeight="1">
      <c r="A61" s="32" t="str">
        <f t="shared" si="1"/>
        <v>DM13147</v>
      </c>
      <c r="B61" s="41" t="s">
        <v>0</v>
      </c>
      <c r="C61" s="73"/>
      <c r="D61" s="92"/>
      <c r="E61" s="56"/>
      <c r="F61" s="56"/>
      <c r="G61" s="56"/>
      <c r="H61" s="97"/>
      <c r="I61" s="98"/>
      <c r="J61" s="6">
        <v>147</v>
      </c>
    </row>
    <row r="62" spans="1:10" ht="15.75" customHeight="1">
      <c r="A62" s="32" t="str">
        <f t="shared" si="1"/>
        <v>DM13148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1"/>
        <v>DM13149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34" t="s">
        <v>149</v>
      </c>
      <c r="B64" s="135"/>
      <c r="C64" s="135"/>
      <c r="D64" s="135"/>
      <c r="E64" s="135"/>
      <c r="F64" s="135"/>
      <c r="G64" s="135"/>
      <c r="H64" s="135"/>
      <c r="I64" s="136"/>
    </row>
    <row r="65" spans="1:10" ht="15" customHeight="1">
      <c r="A65" s="32" t="str">
        <f t="shared" ref="A65:A128" si="2">LEFT($C$3, 2) &amp; (MID($C$3, 3, LEN($C$3)) + J65)</f>
        <v>DM13150</v>
      </c>
      <c r="B65" s="151" t="s">
        <v>59</v>
      </c>
      <c r="C65" s="151" t="s">
        <v>58</v>
      </c>
      <c r="D65" s="149" t="s">
        <v>25</v>
      </c>
      <c r="E65" s="150"/>
      <c r="F65" s="149" t="s">
        <v>65</v>
      </c>
      <c r="G65" s="150"/>
      <c r="H65" s="154" t="s">
        <v>60</v>
      </c>
      <c r="I65" s="157" t="s">
        <v>82</v>
      </c>
      <c r="J65" s="6">
        <v>150</v>
      </c>
    </row>
    <row r="66" spans="1:10" ht="15" customHeight="1">
      <c r="A66" s="32" t="str">
        <f t="shared" si="2"/>
        <v>DM13151</v>
      </c>
      <c r="B66" s="152"/>
      <c r="C66" s="152"/>
      <c r="D66" s="149" t="s">
        <v>26</v>
      </c>
      <c r="E66" s="150"/>
      <c r="F66" s="149" t="s">
        <v>27</v>
      </c>
      <c r="G66" s="150"/>
      <c r="H66" s="155"/>
      <c r="I66" s="158"/>
      <c r="J66" s="6">
        <v>151</v>
      </c>
    </row>
    <row r="67" spans="1:10" ht="15" customHeight="1">
      <c r="A67" s="32" t="str">
        <f t="shared" si="2"/>
        <v>DM13152</v>
      </c>
      <c r="B67" s="153"/>
      <c r="C67" s="152"/>
      <c r="D67" s="149" t="s">
        <v>28</v>
      </c>
      <c r="E67" s="150"/>
      <c r="F67" s="149" t="s">
        <v>29</v>
      </c>
      <c r="G67" s="150"/>
      <c r="H67" s="155"/>
      <c r="I67" s="158"/>
      <c r="J67" s="6">
        <v>152</v>
      </c>
    </row>
    <row r="68" spans="1:10">
      <c r="A68" s="32" t="str">
        <f t="shared" si="2"/>
        <v>DM13153</v>
      </c>
      <c r="B68" s="151" t="s">
        <v>61</v>
      </c>
      <c r="C68" s="151" t="s">
        <v>81</v>
      </c>
      <c r="D68" s="160" t="s">
        <v>67</v>
      </c>
      <c r="E68" s="161"/>
      <c r="F68" s="162" t="s">
        <v>66</v>
      </c>
      <c r="G68" s="163"/>
      <c r="H68" s="154" t="s">
        <v>62</v>
      </c>
      <c r="I68" s="157" t="s">
        <v>63</v>
      </c>
      <c r="J68" s="6">
        <v>153</v>
      </c>
    </row>
    <row r="69" spans="1:10">
      <c r="A69" s="32" t="str">
        <f t="shared" si="2"/>
        <v>DM13154</v>
      </c>
      <c r="B69" s="152"/>
      <c r="C69" s="152"/>
      <c r="D69" s="160" t="s">
        <v>69</v>
      </c>
      <c r="E69" s="161"/>
      <c r="F69" s="162" t="s">
        <v>68</v>
      </c>
      <c r="G69" s="163"/>
      <c r="H69" s="155"/>
      <c r="I69" s="158"/>
      <c r="J69" s="6">
        <v>154</v>
      </c>
    </row>
    <row r="70" spans="1:10">
      <c r="A70" s="32" t="str">
        <f t="shared" si="2"/>
        <v>DM13155</v>
      </c>
      <c r="B70" s="152"/>
      <c r="C70" s="152"/>
      <c r="D70" s="160" t="s">
        <v>71</v>
      </c>
      <c r="E70" s="161"/>
      <c r="F70" s="162" t="s">
        <v>70</v>
      </c>
      <c r="G70" s="163"/>
      <c r="H70" s="155"/>
      <c r="I70" s="158"/>
      <c r="J70" s="6">
        <v>155</v>
      </c>
    </row>
    <row r="71" spans="1:10">
      <c r="A71" s="32" t="str">
        <f t="shared" si="2"/>
        <v>DM13156</v>
      </c>
      <c r="B71" s="152"/>
      <c r="C71" s="152"/>
      <c r="D71" s="160" t="s">
        <v>73</v>
      </c>
      <c r="E71" s="161"/>
      <c r="F71" s="162" t="s">
        <v>72</v>
      </c>
      <c r="G71" s="163"/>
      <c r="H71" s="155"/>
      <c r="I71" s="158"/>
      <c r="J71" s="6">
        <v>156</v>
      </c>
    </row>
    <row r="72" spans="1:10">
      <c r="A72" s="32" t="str">
        <f t="shared" si="2"/>
        <v>DM13157</v>
      </c>
      <c r="B72" s="152"/>
      <c r="C72" s="152"/>
      <c r="D72" s="160" t="s">
        <v>77</v>
      </c>
      <c r="E72" s="161"/>
      <c r="F72" s="162" t="s">
        <v>74</v>
      </c>
      <c r="G72" s="163"/>
      <c r="H72" s="155"/>
      <c r="I72" s="158"/>
      <c r="J72" s="6">
        <v>157</v>
      </c>
    </row>
    <row r="73" spans="1:10">
      <c r="A73" s="32" t="str">
        <f t="shared" si="2"/>
        <v>DM13158</v>
      </c>
      <c r="B73" s="152"/>
      <c r="C73" s="152"/>
      <c r="D73" s="160" t="s">
        <v>78</v>
      </c>
      <c r="E73" s="161"/>
      <c r="F73" s="162" t="s">
        <v>75</v>
      </c>
      <c r="G73" s="163"/>
      <c r="H73" s="155"/>
      <c r="I73" s="158"/>
      <c r="J73" s="6">
        <v>158</v>
      </c>
    </row>
    <row r="74" spans="1:10">
      <c r="A74" s="32" t="str">
        <f t="shared" si="2"/>
        <v>DM13159</v>
      </c>
      <c r="B74" s="153"/>
      <c r="C74" s="153"/>
      <c r="D74" s="160" t="s">
        <v>79</v>
      </c>
      <c r="E74" s="161"/>
      <c r="F74" s="162" t="s">
        <v>76</v>
      </c>
      <c r="G74" s="163"/>
      <c r="H74" s="156"/>
      <c r="I74" s="159"/>
      <c r="J74" s="6">
        <v>159</v>
      </c>
    </row>
    <row r="75" spans="1:10">
      <c r="A75" s="32" t="str">
        <f t="shared" si="2"/>
        <v>DM13160</v>
      </c>
      <c r="B75" s="151" t="s">
        <v>80</v>
      </c>
      <c r="C75" s="151" t="s">
        <v>81</v>
      </c>
      <c r="D75" s="149" t="s">
        <v>25</v>
      </c>
      <c r="E75" s="150"/>
      <c r="F75" s="149" t="s">
        <v>65</v>
      </c>
      <c r="G75" s="150"/>
      <c r="H75" s="154" t="s">
        <v>83</v>
      </c>
      <c r="I75" s="157" t="s">
        <v>82</v>
      </c>
      <c r="J75" s="6">
        <v>160</v>
      </c>
    </row>
    <row r="76" spans="1:10">
      <c r="A76" s="32" t="str">
        <f t="shared" si="2"/>
        <v>DM13161</v>
      </c>
      <c r="B76" s="152"/>
      <c r="C76" s="152"/>
      <c r="D76" s="149" t="s">
        <v>26</v>
      </c>
      <c r="E76" s="150"/>
      <c r="F76" s="149" t="s">
        <v>27</v>
      </c>
      <c r="G76" s="150"/>
      <c r="H76" s="155"/>
      <c r="I76" s="158"/>
      <c r="J76" s="6">
        <v>161</v>
      </c>
    </row>
    <row r="77" spans="1:10">
      <c r="A77" s="32" t="str">
        <f t="shared" si="2"/>
        <v>DM13162</v>
      </c>
      <c r="B77" s="153"/>
      <c r="C77" s="153"/>
      <c r="D77" s="149" t="s">
        <v>28</v>
      </c>
      <c r="E77" s="150"/>
      <c r="F77" s="149" t="s">
        <v>29</v>
      </c>
      <c r="G77" s="150"/>
      <c r="H77" s="156"/>
      <c r="I77" s="159"/>
      <c r="J77" s="6">
        <v>162</v>
      </c>
    </row>
    <row r="78" spans="1:10">
      <c r="A78" s="32" t="str">
        <f t="shared" si="2"/>
        <v>DM13163</v>
      </c>
      <c r="B78" s="151" t="s">
        <v>119</v>
      </c>
      <c r="C78" s="151" t="s">
        <v>58</v>
      </c>
      <c r="D78" s="149" t="s">
        <v>25</v>
      </c>
      <c r="E78" s="150"/>
      <c r="F78" s="149" t="s">
        <v>65</v>
      </c>
      <c r="G78" s="150"/>
      <c r="H78" s="154" t="s">
        <v>120</v>
      </c>
      <c r="I78" s="157" t="s">
        <v>64</v>
      </c>
      <c r="J78" s="6">
        <v>163</v>
      </c>
    </row>
    <row r="79" spans="1:10">
      <c r="A79" s="32" t="str">
        <f t="shared" si="2"/>
        <v>DM13164</v>
      </c>
      <c r="B79" s="152"/>
      <c r="C79" s="152"/>
      <c r="D79" s="149" t="s">
        <v>26</v>
      </c>
      <c r="E79" s="150"/>
      <c r="F79" s="149" t="s">
        <v>27</v>
      </c>
      <c r="G79" s="150"/>
      <c r="H79" s="155"/>
      <c r="I79" s="158"/>
      <c r="J79" s="6">
        <v>164</v>
      </c>
    </row>
    <row r="80" spans="1:10">
      <c r="A80" s="32" t="str">
        <f t="shared" si="2"/>
        <v>DM13165</v>
      </c>
      <c r="B80" s="152"/>
      <c r="C80" s="152"/>
      <c r="D80" s="149" t="s">
        <v>28</v>
      </c>
      <c r="E80" s="150"/>
      <c r="F80" s="149" t="s">
        <v>29</v>
      </c>
      <c r="G80" s="150"/>
      <c r="H80" s="155"/>
      <c r="I80" s="158"/>
      <c r="J80" s="6">
        <v>165</v>
      </c>
    </row>
    <row r="81" spans="1:10">
      <c r="A81" s="32" t="str">
        <f t="shared" si="2"/>
        <v>DM13166</v>
      </c>
      <c r="B81" s="152"/>
      <c r="C81" s="152"/>
      <c r="D81" s="149" t="s">
        <v>30</v>
      </c>
      <c r="E81" s="150"/>
      <c r="F81" s="149" t="s">
        <v>31</v>
      </c>
      <c r="G81" s="150"/>
      <c r="H81" s="155"/>
      <c r="I81" s="158"/>
      <c r="J81" s="6">
        <v>166</v>
      </c>
    </row>
    <row r="82" spans="1:10">
      <c r="A82" s="32" t="str">
        <f t="shared" si="2"/>
        <v>DM13167</v>
      </c>
      <c r="B82" s="152"/>
      <c r="C82" s="152"/>
      <c r="D82" s="149" t="s">
        <v>11</v>
      </c>
      <c r="E82" s="150"/>
      <c r="F82" s="149" t="s">
        <v>12</v>
      </c>
      <c r="G82" s="150"/>
      <c r="H82" s="155"/>
      <c r="I82" s="158"/>
      <c r="J82" s="6">
        <v>167</v>
      </c>
    </row>
    <row r="83" spans="1:10">
      <c r="A83" s="32" t="str">
        <f t="shared" si="2"/>
        <v>DM13168</v>
      </c>
      <c r="B83" s="152"/>
      <c r="C83" s="152"/>
      <c r="D83" s="149" t="s">
        <v>13</v>
      </c>
      <c r="E83" s="150"/>
      <c r="F83" s="149" t="s">
        <v>14</v>
      </c>
      <c r="G83" s="150"/>
      <c r="H83" s="155"/>
      <c r="I83" s="158"/>
      <c r="J83" s="6">
        <v>168</v>
      </c>
    </row>
    <row r="84" spans="1:10">
      <c r="A84" s="32" t="str">
        <f t="shared" si="2"/>
        <v>DM13169</v>
      </c>
      <c r="B84" s="152"/>
      <c r="C84" s="152"/>
      <c r="D84" s="149" t="s">
        <v>16</v>
      </c>
      <c r="E84" s="150"/>
      <c r="F84" s="149" t="s">
        <v>17</v>
      </c>
      <c r="G84" s="150"/>
      <c r="H84" s="155"/>
      <c r="I84" s="158"/>
      <c r="J84" s="6">
        <v>169</v>
      </c>
    </row>
    <row r="85" spans="1:10">
      <c r="A85" s="32" t="str">
        <f t="shared" si="2"/>
        <v>DM13170</v>
      </c>
      <c r="B85" s="152"/>
      <c r="C85" s="152"/>
      <c r="D85" s="149" t="s">
        <v>18</v>
      </c>
      <c r="E85" s="150"/>
      <c r="F85" s="149" t="s">
        <v>19</v>
      </c>
      <c r="G85" s="150"/>
      <c r="H85" s="155"/>
      <c r="I85" s="158"/>
      <c r="J85" s="6">
        <v>170</v>
      </c>
    </row>
    <row r="86" spans="1:10">
      <c r="A86" s="32" t="str">
        <f t="shared" si="2"/>
        <v>DM13171</v>
      </c>
      <c r="B86" s="152"/>
      <c r="C86" s="152"/>
      <c r="D86" s="149" t="s">
        <v>20</v>
      </c>
      <c r="E86" s="150"/>
      <c r="F86" s="149" t="s">
        <v>21</v>
      </c>
      <c r="G86" s="150"/>
      <c r="H86" s="155"/>
      <c r="I86" s="158"/>
      <c r="J86" s="6">
        <v>171</v>
      </c>
    </row>
    <row r="87" spans="1:10">
      <c r="A87" s="32" t="str">
        <f t="shared" si="2"/>
        <v>DM13172</v>
      </c>
      <c r="B87" s="153"/>
      <c r="C87" s="153"/>
      <c r="D87" s="149" t="s">
        <v>22</v>
      </c>
      <c r="E87" s="150"/>
      <c r="F87" s="149" t="s">
        <v>23</v>
      </c>
      <c r="G87" s="150"/>
      <c r="H87" s="156"/>
      <c r="I87" s="159"/>
      <c r="J87" s="6">
        <v>172</v>
      </c>
    </row>
    <row r="88" spans="1:10">
      <c r="A88" s="32" t="str">
        <f t="shared" si="2"/>
        <v>DM13173</v>
      </c>
      <c r="B88" s="151" t="s">
        <v>121</v>
      </c>
      <c r="C88" s="151" t="s">
        <v>58</v>
      </c>
      <c r="D88" s="149" t="s">
        <v>25</v>
      </c>
      <c r="E88" s="150"/>
      <c r="F88" s="149" t="s">
        <v>65</v>
      </c>
      <c r="G88" s="150"/>
      <c r="H88" s="154" t="s">
        <v>1</v>
      </c>
      <c r="I88" s="157" t="s">
        <v>64</v>
      </c>
      <c r="J88" s="6">
        <v>173</v>
      </c>
    </row>
    <row r="89" spans="1:10">
      <c r="A89" s="32" t="str">
        <f t="shared" si="2"/>
        <v>DM13174</v>
      </c>
      <c r="B89" s="152"/>
      <c r="C89" s="152"/>
      <c r="D89" s="149" t="s">
        <v>26</v>
      </c>
      <c r="E89" s="150"/>
      <c r="F89" s="149" t="s">
        <v>27</v>
      </c>
      <c r="G89" s="150"/>
      <c r="H89" s="155"/>
      <c r="I89" s="158"/>
      <c r="J89" s="6">
        <v>174</v>
      </c>
    </row>
    <row r="90" spans="1:10">
      <c r="A90" s="32" t="str">
        <f t="shared" si="2"/>
        <v>DM13175</v>
      </c>
      <c r="B90" s="152"/>
      <c r="C90" s="152"/>
      <c r="D90" s="149" t="s">
        <v>28</v>
      </c>
      <c r="E90" s="150"/>
      <c r="F90" s="149" t="s">
        <v>29</v>
      </c>
      <c r="G90" s="150"/>
      <c r="H90" s="155"/>
      <c r="I90" s="158"/>
      <c r="J90" s="6">
        <v>175</v>
      </c>
    </row>
    <row r="91" spans="1:10">
      <c r="A91" s="32" t="str">
        <f t="shared" si="2"/>
        <v>DM13176</v>
      </c>
      <c r="B91" s="152"/>
      <c r="C91" s="152"/>
      <c r="D91" s="149" t="s">
        <v>30</v>
      </c>
      <c r="E91" s="150"/>
      <c r="F91" s="149" t="s">
        <v>31</v>
      </c>
      <c r="G91" s="150"/>
      <c r="H91" s="155"/>
      <c r="I91" s="158"/>
      <c r="J91" s="6">
        <v>176</v>
      </c>
    </row>
    <row r="92" spans="1:10">
      <c r="A92" s="32" t="str">
        <f t="shared" si="2"/>
        <v>DM13177</v>
      </c>
      <c r="B92" s="152"/>
      <c r="C92" s="152"/>
      <c r="D92" s="149" t="s">
        <v>11</v>
      </c>
      <c r="E92" s="150"/>
      <c r="F92" s="149" t="s">
        <v>12</v>
      </c>
      <c r="G92" s="150"/>
      <c r="H92" s="155"/>
      <c r="I92" s="158"/>
      <c r="J92" s="6">
        <v>177</v>
      </c>
    </row>
    <row r="93" spans="1:10">
      <c r="A93" s="32" t="str">
        <f t="shared" si="2"/>
        <v>DM13178</v>
      </c>
      <c r="B93" s="152"/>
      <c r="C93" s="152"/>
      <c r="D93" s="149" t="s">
        <v>13</v>
      </c>
      <c r="E93" s="150"/>
      <c r="F93" s="149" t="s">
        <v>14</v>
      </c>
      <c r="G93" s="150"/>
      <c r="H93" s="155"/>
      <c r="I93" s="158"/>
      <c r="J93" s="6">
        <v>178</v>
      </c>
    </row>
    <row r="94" spans="1:10">
      <c r="A94" s="32" t="str">
        <f t="shared" si="2"/>
        <v>DM13179</v>
      </c>
      <c r="B94" s="152"/>
      <c r="C94" s="152"/>
      <c r="D94" s="149" t="s">
        <v>16</v>
      </c>
      <c r="E94" s="150"/>
      <c r="F94" s="149" t="s">
        <v>17</v>
      </c>
      <c r="G94" s="150"/>
      <c r="H94" s="155"/>
      <c r="I94" s="158"/>
      <c r="J94" s="6">
        <v>179</v>
      </c>
    </row>
    <row r="95" spans="1:10">
      <c r="A95" s="32" t="str">
        <f t="shared" si="2"/>
        <v>DM13180</v>
      </c>
      <c r="B95" s="152"/>
      <c r="C95" s="152"/>
      <c r="D95" s="149" t="s">
        <v>18</v>
      </c>
      <c r="E95" s="150"/>
      <c r="F95" s="149" t="s">
        <v>19</v>
      </c>
      <c r="G95" s="150"/>
      <c r="H95" s="155"/>
      <c r="I95" s="158"/>
      <c r="J95" s="6">
        <v>180</v>
      </c>
    </row>
    <row r="96" spans="1:10">
      <c r="A96" s="32" t="str">
        <f t="shared" si="2"/>
        <v>DM13181</v>
      </c>
      <c r="B96" s="152"/>
      <c r="C96" s="152"/>
      <c r="D96" s="149" t="s">
        <v>20</v>
      </c>
      <c r="E96" s="150"/>
      <c r="F96" s="149" t="s">
        <v>21</v>
      </c>
      <c r="G96" s="150"/>
      <c r="H96" s="155"/>
      <c r="I96" s="158"/>
      <c r="J96" s="6">
        <v>181</v>
      </c>
    </row>
    <row r="97" spans="1:10">
      <c r="A97" s="32" t="str">
        <f t="shared" si="2"/>
        <v>DM13182</v>
      </c>
      <c r="B97" s="153"/>
      <c r="C97" s="153"/>
      <c r="D97" s="149" t="s">
        <v>22</v>
      </c>
      <c r="E97" s="150"/>
      <c r="F97" s="149" t="s">
        <v>23</v>
      </c>
      <c r="G97" s="150"/>
      <c r="H97" s="156"/>
      <c r="I97" s="159"/>
      <c r="J97" s="6">
        <v>182</v>
      </c>
    </row>
    <row r="98" spans="1:10">
      <c r="A98" s="32" t="str">
        <f t="shared" si="2"/>
        <v>DM13183</v>
      </c>
      <c r="B98" s="151" t="s">
        <v>122</v>
      </c>
      <c r="C98" s="151" t="s">
        <v>58</v>
      </c>
      <c r="D98" s="149" t="s">
        <v>25</v>
      </c>
      <c r="E98" s="150"/>
      <c r="F98" s="149" t="s">
        <v>65</v>
      </c>
      <c r="G98" s="150"/>
      <c r="H98" s="154" t="s">
        <v>123</v>
      </c>
      <c r="I98" s="157" t="s">
        <v>64</v>
      </c>
      <c r="J98" s="6">
        <v>183</v>
      </c>
    </row>
    <row r="99" spans="1:10">
      <c r="A99" s="32" t="str">
        <f t="shared" si="2"/>
        <v>DM13184</v>
      </c>
      <c r="B99" s="152"/>
      <c r="C99" s="152"/>
      <c r="D99" s="149" t="s">
        <v>26</v>
      </c>
      <c r="E99" s="150"/>
      <c r="F99" s="149" t="s">
        <v>27</v>
      </c>
      <c r="G99" s="150"/>
      <c r="H99" s="155"/>
      <c r="I99" s="158"/>
      <c r="J99" s="6">
        <v>184</v>
      </c>
    </row>
    <row r="100" spans="1:10">
      <c r="A100" s="32" t="str">
        <f t="shared" si="2"/>
        <v>DM13185</v>
      </c>
      <c r="B100" s="152"/>
      <c r="C100" s="152"/>
      <c r="D100" s="149" t="s">
        <v>28</v>
      </c>
      <c r="E100" s="150"/>
      <c r="F100" s="149" t="s">
        <v>29</v>
      </c>
      <c r="G100" s="150"/>
      <c r="H100" s="155"/>
      <c r="I100" s="158"/>
      <c r="J100" s="6">
        <v>185</v>
      </c>
    </row>
    <row r="101" spans="1:10">
      <c r="A101" s="32" t="str">
        <f t="shared" si="2"/>
        <v>DM13186</v>
      </c>
      <c r="B101" s="152"/>
      <c r="C101" s="152"/>
      <c r="D101" s="149" t="s">
        <v>30</v>
      </c>
      <c r="E101" s="150"/>
      <c r="F101" s="149" t="s">
        <v>31</v>
      </c>
      <c r="G101" s="150"/>
      <c r="H101" s="155"/>
      <c r="I101" s="158"/>
      <c r="J101" s="6">
        <v>186</v>
      </c>
    </row>
    <row r="102" spans="1:10">
      <c r="A102" s="32" t="str">
        <f t="shared" si="2"/>
        <v>DM13187</v>
      </c>
      <c r="B102" s="152"/>
      <c r="C102" s="152"/>
      <c r="D102" s="149" t="s">
        <v>11</v>
      </c>
      <c r="E102" s="150"/>
      <c r="F102" s="149" t="s">
        <v>12</v>
      </c>
      <c r="G102" s="150"/>
      <c r="H102" s="155"/>
      <c r="I102" s="158"/>
      <c r="J102" s="6">
        <v>187</v>
      </c>
    </row>
    <row r="103" spans="1:10">
      <c r="A103" s="32" t="str">
        <f t="shared" si="2"/>
        <v>DM13188</v>
      </c>
      <c r="B103" s="152"/>
      <c r="C103" s="152"/>
      <c r="D103" s="149" t="s">
        <v>13</v>
      </c>
      <c r="E103" s="150"/>
      <c r="F103" s="149" t="s">
        <v>14</v>
      </c>
      <c r="G103" s="150"/>
      <c r="H103" s="155"/>
      <c r="I103" s="158"/>
      <c r="J103" s="6">
        <v>188</v>
      </c>
    </row>
    <row r="104" spans="1:10">
      <c r="A104" s="32" t="str">
        <f t="shared" si="2"/>
        <v>DM13189</v>
      </c>
      <c r="B104" s="152"/>
      <c r="C104" s="152"/>
      <c r="D104" s="149" t="s">
        <v>16</v>
      </c>
      <c r="E104" s="150"/>
      <c r="F104" s="149" t="s">
        <v>17</v>
      </c>
      <c r="G104" s="150"/>
      <c r="H104" s="155"/>
      <c r="I104" s="158"/>
      <c r="J104" s="6">
        <v>189</v>
      </c>
    </row>
    <row r="105" spans="1:10">
      <c r="A105" s="32" t="str">
        <f t="shared" si="2"/>
        <v>DM13190</v>
      </c>
      <c r="B105" s="152"/>
      <c r="C105" s="152"/>
      <c r="D105" s="149" t="s">
        <v>18</v>
      </c>
      <c r="E105" s="150"/>
      <c r="F105" s="149" t="s">
        <v>19</v>
      </c>
      <c r="G105" s="150"/>
      <c r="H105" s="155"/>
      <c r="I105" s="158"/>
      <c r="J105" s="6">
        <v>190</v>
      </c>
    </row>
    <row r="106" spans="1:10">
      <c r="A106" s="32" t="str">
        <f t="shared" si="2"/>
        <v>DM13191</v>
      </c>
      <c r="B106" s="152"/>
      <c r="C106" s="152"/>
      <c r="D106" s="149" t="s">
        <v>20</v>
      </c>
      <c r="E106" s="150"/>
      <c r="F106" s="149" t="s">
        <v>21</v>
      </c>
      <c r="G106" s="150"/>
      <c r="H106" s="155"/>
      <c r="I106" s="158"/>
      <c r="J106" s="6">
        <v>191</v>
      </c>
    </row>
    <row r="107" spans="1:10">
      <c r="A107" s="32" t="str">
        <f t="shared" si="2"/>
        <v>DM13192</v>
      </c>
      <c r="B107" s="153"/>
      <c r="C107" s="153"/>
      <c r="D107" s="149" t="s">
        <v>22</v>
      </c>
      <c r="E107" s="150"/>
      <c r="F107" s="149" t="s">
        <v>23</v>
      </c>
      <c r="G107" s="150"/>
      <c r="H107" s="156"/>
      <c r="I107" s="159"/>
      <c r="J107" s="6">
        <v>192</v>
      </c>
    </row>
    <row r="108" spans="1:10" ht="15" customHeight="1">
      <c r="A108" s="32" t="str">
        <f t="shared" si="2"/>
        <v>DM13193</v>
      </c>
      <c r="B108" s="151" t="s">
        <v>124</v>
      </c>
      <c r="C108" s="151" t="s">
        <v>81</v>
      </c>
      <c r="D108" s="149" t="s">
        <v>25</v>
      </c>
      <c r="E108" s="150"/>
      <c r="F108" s="149" t="s">
        <v>65</v>
      </c>
      <c r="G108" s="150"/>
      <c r="H108" s="154" t="s">
        <v>125</v>
      </c>
      <c r="I108" s="157" t="s">
        <v>64</v>
      </c>
      <c r="J108" s="6">
        <v>193</v>
      </c>
    </row>
    <row r="109" spans="1:10" ht="15" customHeight="1">
      <c r="A109" s="32" t="str">
        <f t="shared" si="2"/>
        <v>DM13194</v>
      </c>
      <c r="B109" s="152"/>
      <c r="C109" s="152"/>
      <c r="D109" s="149" t="s">
        <v>26</v>
      </c>
      <c r="E109" s="150"/>
      <c r="F109" s="149" t="s">
        <v>27</v>
      </c>
      <c r="G109" s="150"/>
      <c r="H109" s="155"/>
      <c r="I109" s="158"/>
      <c r="J109" s="6">
        <v>194</v>
      </c>
    </row>
    <row r="110" spans="1:10" ht="15" customHeight="1">
      <c r="A110" s="32" t="str">
        <f t="shared" si="2"/>
        <v>DM13195</v>
      </c>
      <c r="B110" s="152"/>
      <c r="C110" s="152"/>
      <c r="D110" s="149" t="s">
        <v>28</v>
      </c>
      <c r="E110" s="150"/>
      <c r="F110" s="149" t="s">
        <v>29</v>
      </c>
      <c r="G110" s="150"/>
      <c r="H110" s="155"/>
      <c r="I110" s="158"/>
      <c r="J110" s="6">
        <v>195</v>
      </c>
    </row>
    <row r="111" spans="1:10" ht="15" customHeight="1">
      <c r="A111" s="32" t="str">
        <f t="shared" si="2"/>
        <v>DM13196</v>
      </c>
      <c r="B111" s="152"/>
      <c r="C111" s="152"/>
      <c r="D111" s="149" t="s">
        <v>30</v>
      </c>
      <c r="E111" s="150"/>
      <c r="F111" s="149" t="s">
        <v>31</v>
      </c>
      <c r="G111" s="150"/>
      <c r="H111" s="155"/>
      <c r="I111" s="158"/>
      <c r="J111" s="6">
        <v>196</v>
      </c>
    </row>
    <row r="112" spans="1:10" ht="15" customHeight="1">
      <c r="A112" s="32" t="str">
        <f t="shared" si="2"/>
        <v>DM13197</v>
      </c>
      <c r="B112" s="152"/>
      <c r="C112" s="152"/>
      <c r="D112" s="149" t="s">
        <v>11</v>
      </c>
      <c r="E112" s="150"/>
      <c r="F112" s="149" t="s">
        <v>12</v>
      </c>
      <c r="G112" s="150"/>
      <c r="H112" s="155"/>
      <c r="I112" s="158"/>
      <c r="J112" s="6">
        <v>197</v>
      </c>
    </row>
    <row r="113" spans="1:10" ht="15" customHeight="1">
      <c r="A113" s="32" t="str">
        <f t="shared" si="2"/>
        <v>DM13198</v>
      </c>
      <c r="B113" s="152"/>
      <c r="C113" s="152"/>
      <c r="D113" s="149" t="s">
        <v>13</v>
      </c>
      <c r="E113" s="150"/>
      <c r="F113" s="149" t="s">
        <v>14</v>
      </c>
      <c r="G113" s="150"/>
      <c r="H113" s="155"/>
      <c r="I113" s="158"/>
      <c r="J113" s="6">
        <v>198</v>
      </c>
    </row>
    <row r="114" spans="1:10" ht="15" customHeight="1">
      <c r="A114" s="32" t="str">
        <f t="shared" si="2"/>
        <v>DM13199</v>
      </c>
      <c r="B114" s="152"/>
      <c r="C114" s="152"/>
      <c r="D114" s="149" t="s">
        <v>16</v>
      </c>
      <c r="E114" s="150"/>
      <c r="F114" s="149" t="s">
        <v>17</v>
      </c>
      <c r="G114" s="150"/>
      <c r="H114" s="155"/>
      <c r="I114" s="158"/>
      <c r="J114" s="6">
        <v>199</v>
      </c>
    </row>
    <row r="115" spans="1:10" ht="15" customHeight="1">
      <c r="A115" s="32" t="str">
        <f t="shared" si="2"/>
        <v>DM13200</v>
      </c>
      <c r="B115" s="152"/>
      <c r="C115" s="152"/>
      <c r="D115" s="149" t="s">
        <v>18</v>
      </c>
      <c r="E115" s="150"/>
      <c r="F115" s="149" t="s">
        <v>19</v>
      </c>
      <c r="G115" s="150"/>
      <c r="H115" s="155"/>
      <c r="I115" s="158"/>
      <c r="J115" s="6">
        <v>200</v>
      </c>
    </row>
    <row r="116" spans="1:10" ht="15" customHeight="1">
      <c r="A116" s="32" t="str">
        <f t="shared" si="2"/>
        <v>DM13201</v>
      </c>
      <c r="B116" s="152"/>
      <c r="C116" s="152"/>
      <c r="D116" s="149" t="s">
        <v>20</v>
      </c>
      <c r="E116" s="150"/>
      <c r="F116" s="149" t="s">
        <v>21</v>
      </c>
      <c r="G116" s="150"/>
      <c r="H116" s="155"/>
      <c r="I116" s="158"/>
      <c r="J116" s="6">
        <v>201</v>
      </c>
    </row>
    <row r="117" spans="1:10" ht="15" customHeight="1">
      <c r="A117" s="32" t="str">
        <f t="shared" si="2"/>
        <v>DM13202</v>
      </c>
      <c r="B117" s="153"/>
      <c r="C117" s="153"/>
      <c r="D117" s="149" t="s">
        <v>22</v>
      </c>
      <c r="E117" s="150"/>
      <c r="F117" s="149" t="s">
        <v>23</v>
      </c>
      <c r="G117" s="150"/>
      <c r="H117" s="156"/>
      <c r="I117" s="159"/>
      <c r="J117" s="6">
        <v>202</v>
      </c>
    </row>
    <row r="118" spans="1:10">
      <c r="A118" s="32" t="str">
        <f t="shared" si="2"/>
        <v>DM13203</v>
      </c>
      <c r="B118" s="91" t="s">
        <v>126</v>
      </c>
      <c r="C118" s="73" t="s">
        <v>81</v>
      </c>
      <c r="D118" s="60">
        <v>0</v>
      </c>
      <c r="E118" s="61">
        <v>0</v>
      </c>
      <c r="F118" s="61">
        <v>0</v>
      </c>
      <c r="G118" s="111" t="s">
        <v>253</v>
      </c>
      <c r="H118" s="97" t="s">
        <v>127</v>
      </c>
      <c r="I118" s="98" t="s">
        <v>128</v>
      </c>
      <c r="J118" s="6">
        <v>203</v>
      </c>
    </row>
    <row r="119" spans="1:10">
      <c r="A119" s="32" t="str">
        <f t="shared" si="2"/>
        <v>DM13204</v>
      </c>
      <c r="B119" s="91" t="s">
        <v>150</v>
      </c>
      <c r="C119" s="73" t="s">
        <v>81</v>
      </c>
      <c r="D119" s="60">
        <v>0</v>
      </c>
      <c r="E119" s="61">
        <v>0</v>
      </c>
      <c r="F119" s="61">
        <v>0</v>
      </c>
      <c r="G119" s="111" t="s">
        <v>253</v>
      </c>
      <c r="H119" s="97" t="s">
        <v>159</v>
      </c>
      <c r="I119" s="98" t="s">
        <v>156</v>
      </c>
      <c r="J119" s="6">
        <v>204</v>
      </c>
    </row>
    <row r="120" spans="1:10">
      <c r="A120" s="32" t="str">
        <f t="shared" si="2"/>
        <v>DM13205</v>
      </c>
      <c r="B120" s="151" t="s">
        <v>151</v>
      </c>
      <c r="C120" s="151" t="s">
        <v>81</v>
      </c>
      <c r="D120" s="149" t="s">
        <v>25</v>
      </c>
      <c r="E120" s="150"/>
      <c r="F120" s="149" t="s">
        <v>65</v>
      </c>
      <c r="G120" s="150"/>
      <c r="H120" s="154" t="s">
        <v>152</v>
      </c>
      <c r="I120" s="157" t="s">
        <v>64</v>
      </c>
      <c r="J120" s="6">
        <v>205</v>
      </c>
    </row>
    <row r="121" spans="1:10">
      <c r="A121" s="32" t="str">
        <f t="shared" si="2"/>
        <v>DM13206</v>
      </c>
      <c r="B121" s="152"/>
      <c r="C121" s="152"/>
      <c r="D121" s="149" t="s">
        <v>26</v>
      </c>
      <c r="E121" s="150"/>
      <c r="F121" s="149" t="s">
        <v>27</v>
      </c>
      <c r="G121" s="150"/>
      <c r="H121" s="155"/>
      <c r="I121" s="158"/>
      <c r="J121" s="6">
        <v>206</v>
      </c>
    </row>
    <row r="122" spans="1:10">
      <c r="A122" s="32" t="str">
        <f t="shared" si="2"/>
        <v>DM13207</v>
      </c>
      <c r="B122" s="152"/>
      <c r="C122" s="152"/>
      <c r="D122" s="149" t="s">
        <v>28</v>
      </c>
      <c r="E122" s="150"/>
      <c r="F122" s="149" t="s">
        <v>29</v>
      </c>
      <c r="G122" s="150"/>
      <c r="H122" s="155"/>
      <c r="I122" s="158"/>
      <c r="J122" s="6">
        <v>207</v>
      </c>
    </row>
    <row r="123" spans="1:10">
      <c r="A123" s="32" t="str">
        <f t="shared" si="2"/>
        <v>DM13208</v>
      </c>
      <c r="B123" s="152"/>
      <c r="C123" s="152"/>
      <c r="D123" s="149" t="s">
        <v>30</v>
      </c>
      <c r="E123" s="150"/>
      <c r="F123" s="149" t="s">
        <v>31</v>
      </c>
      <c r="G123" s="150"/>
      <c r="H123" s="155"/>
      <c r="I123" s="158"/>
      <c r="J123" s="6">
        <v>208</v>
      </c>
    </row>
    <row r="124" spans="1:10">
      <c r="A124" s="32" t="str">
        <f t="shared" si="2"/>
        <v>DM13209</v>
      </c>
      <c r="B124" s="152"/>
      <c r="C124" s="152"/>
      <c r="D124" s="149" t="s">
        <v>11</v>
      </c>
      <c r="E124" s="150"/>
      <c r="F124" s="149" t="s">
        <v>12</v>
      </c>
      <c r="G124" s="150"/>
      <c r="H124" s="155"/>
      <c r="I124" s="158"/>
      <c r="J124" s="6">
        <v>209</v>
      </c>
    </row>
    <row r="125" spans="1:10">
      <c r="A125" s="32" t="str">
        <f t="shared" si="2"/>
        <v>DM13210</v>
      </c>
      <c r="B125" s="152"/>
      <c r="C125" s="152"/>
      <c r="D125" s="149" t="s">
        <v>13</v>
      </c>
      <c r="E125" s="150"/>
      <c r="F125" s="149" t="s">
        <v>14</v>
      </c>
      <c r="G125" s="150"/>
      <c r="H125" s="155"/>
      <c r="I125" s="158"/>
      <c r="J125" s="6">
        <v>210</v>
      </c>
    </row>
    <row r="126" spans="1:10">
      <c r="A126" s="32" t="str">
        <f t="shared" si="2"/>
        <v>DM13211</v>
      </c>
      <c r="B126" s="152"/>
      <c r="C126" s="152"/>
      <c r="D126" s="149" t="s">
        <v>16</v>
      </c>
      <c r="E126" s="150"/>
      <c r="F126" s="149" t="s">
        <v>17</v>
      </c>
      <c r="G126" s="150"/>
      <c r="H126" s="155"/>
      <c r="I126" s="158"/>
      <c r="J126" s="6">
        <v>211</v>
      </c>
    </row>
    <row r="127" spans="1:10">
      <c r="A127" s="32" t="str">
        <f t="shared" si="2"/>
        <v>DM13212</v>
      </c>
      <c r="B127" s="152"/>
      <c r="C127" s="152"/>
      <c r="D127" s="149" t="s">
        <v>18</v>
      </c>
      <c r="E127" s="150"/>
      <c r="F127" s="149" t="s">
        <v>19</v>
      </c>
      <c r="G127" s="150"/>
      <c r="H127" s="155"/>
      <c r="I127" s="158"/>
      <c r="J127" s="6">
        <v>212</v>
      </c>
    </row>
    <row r="128" spans="1:10">
      <c r="A128" s="32" t="str">
        <f t="shared" si="2"/>
        <v>DM13213</v>
      </c>
      <c r="B128" s="152"/>
      <c r="C128" s="152"/>
      <c r="D128" s="149" t="s">
        <v>20</v>
      </c>
      <c r="E128" s="150"/>
      <c r="F128" s="149" t="s">
        <v>21</v>
      </c>
      <c r="G128" s="150"/>
      <c r="H128" s="155"/>
      <c r="I128" s="158"/>
      <c r="J128" s="6">
        <v>213</v>
      </c>
    </row>
    <row r="129" spans="1:10">
      <c r="A129" s="32" t="str">
        <f t="shared" ref="A129:A192" si="3">LEFT($C$3, 2) &amp; (MID($C$3, 3, LEN($C$3)) + J129)</f>
        <v>DM13214</v>
      </c>
      <c r="B129" s="153"/>
      <c r="C129" s="153"/>
      <c r="D129" s="149" t="s">
        <v>22</v>
      </c>
      <c r="E129" s="150"/>
      <c r="F129" s="149" t="s">
        <v>23</v>
      </c>
      <c r="G129" s="150"/>
      <c r="H129" s="156"/>
      <c r="I129" s="159"/>
      <c r="J129" s="6">
        <v>214</v>
      </c>
    </row>
    <row r="130" spans="1:10">
      <c r="A130" s="32" t="str">
        <f t="shared" si="3"/>
        <v>DM13215</v>
      </c>
      <c r="B130" s="151" t="s">
        <v>129</v>
      </c>
      <c r="C130" s="151" t="s">
        <v>81</v>
      </c>
      <c r="D130" s="149" t="s">
        <v>25</v>
      </c>
      <c r="E130" s="150"/>
      <c r="F130" s="149" t="s">
        <v>65</v>
      </c>
      <c r="G130" s="150"/>
      <c r="H130" s="154" t="s">
        <v>130</v>
      </c>
      <c r="I130" s="157" t="s">
        <v>64</v>
      </c>
      <c r="J130" s="6">
        <v>215</v>
      </c>
    </row>
    <row r="131" spans="1:10">
      <c r="A131" s="32" t="str">
        <f t="shared" si="3"/>
        <v>DM13216</v>
      </c>
      <c r="B131" s="152"/>
      <c r="C131" s="152"/>
      <c r="D131" s="149" t="s">
        <v>26</v>
      </c>
      <c r="E131" s="150"/>
      <c r="F131" s="149" t="s">
        <v>27</v>
      </c>
      <c r="G131" s="150"/>
      <c r="H131" s="155"/>
      <c r="I131" s="158"/>
      <c r="J131" s="6">
        <v>216</v>
      </c>
    </row>
    <row r="132" spans="1:10">
      <c r="A132" s="32" t="str">
        <f t="shared" si="3"/>
        <v>DM13217</v>
      </c>
      <c r="B132" s="152"/>
      <c r="C132" s="152"/>
      <c r="D132" s="149" t="s">
        <v>28</v>
      </c>
      <c r="E132" s="150"/>
      <c r="F132" s="149" t="s">
        <v>29</v>
      </c>
      <c r="G132" s="150"/>
      <c r="H132" s="155"/>
      <c r="I132" s="158"/>
      <c r="J132" s="6">
        <v>217</v>
      </c>
    </row>
    <row r="133" spans="1:10">
      <c r="A133" s="32" t="str">
        <f t="shared" si="3"/>
        <v>DM13218</v>
      </c>
      <c r="B133" s="152"/>
      <c r="C133" s="152"/>
      <c r="D133" s="149" t="s">
        <v>30</v>
      </c>
      <c r="E133" s="150"/>
      <c r="F133" s="149" t="s">
        <v>31</v>
      </c>
      <c r="G133" s="150"/>
      <c r="H133" s="155"/>
      <c r="I133" s="158"/>
      <c r="J133" s="6">
        <v>218</v>
      </c>
    </row>
    <row r="134" spans="1:10">
      <c r="A134" s="32" t="str">
        <f t="shared" si="3"/>
        <v>DM13219</v>
      </c>
      <c r="B134" s="152"/>
      <c r="C134" s="152"/>
      <c r="D134" s="149" t="s">
        <v>11</v>
      </c>
      <c r="E134" s="150"/>
      <c r="F134" s="149" t="s">
        <v>12</v>
      </c>
      <c r="G134" s="150"/>
      <c r="H134" s="155"/>
      <c r="I134" s="158"/>
      <c r="J134" s="6">
        <v>219</v>
      </c>
    </row>
    <row r="135" spans="1:10">
      <c r="A135" s="32" t="str">
        <f t="shared" si="3"/>
        <v>DM13220</v>
      </c>
      <c r="B135" s="152"/>
      <c r="C135" s="152"/>
      <c r="D135" s="149" t="s">
        <v>13</v>
      </c>
      <c r="E135" s="150"/>
      <c r="F135" s="149" t="s">
        <v>14</v>
      </c>
      <c r="G135" s="150"/>
      <c r="H135" s="155"/>
      <c r="I135" s="158"/>
      <c r="J135" s="6">
        <v>220</v>
      </c>
    </row>
    <row r="136" spans="1:10">
      <c r="A136" s="32" t="str">
        <f t="shared" si="3"/>
        <v>DM13221</v>
      </c>
      <c r="B136" s="152"/>
      <c r="C136" s="152"/>
      <c r="D136" s="149" t="s">
        <v>16</v>
      </c>
      <c r="E136" s="150"/>
      <c r="F136" s="149" t="s">
        <v>17</v>
      </c>
      <c r="G136" s="150"/>
      <c r="H136" s="155"/>
      <c r="I136" s="158"/>
      <c r="J136" s="6">
        <v>221</v>
      </c>
    </row>
    <row r="137" spans="1:10">
      <c r="A137" s="32" t="str">
        <f t="shared" si="3"/>
        <v>DM13222</v>
      </c>
      <c r="B137" s="152"/>
      <c r="C137" s="152"/>
      <c r="D137" s="149" t="s">
        <v>18</v>
      </c>
      <c r="E137" s="150"/>
      <c r="F137" s="149" t="s">
        <v>19</v>
      </c>
      <c r="G137" s="150"/>
      <c r="H137" s="155"/>
      <c r="I137" s="158"/>
      <c r="J137" s="6">
        <v>222</v>
      </c>
    </row>
    <row r="138" spans="1:10">
      <c r="A138" s="32" t="str">
        <f t="shared" si="3"/>
        <v>DM13223</v>
      </c>
      <c r="B138" s="152"/>
      <c r="C138" s="152"/>
      <c r="D138" s="149" t="s">
        <v>20</v>
      </c>
      <c r="E138" s="150"/>
      <c r="F138" s="149" t="s">
        <v>21</v>
      </c>
      <c r="G138" s="150"/>
      <c r="H138" s="155"/>
      <c r="I138" s="158"/>
      <c r="J138" s="6">
        <v>223</v>
      </c>
    </row>
    <row r="139" spans="1:10">
      <c r="A139" s="32" t="str">
        <f t="shared" si="3"/>
        <v>DM13224</v>
      </c>
      <c r="B139" s="153"/>
      <c r="C139" s="153"/>
      <c r="D139" s="149" t="s">
        <v>22</v>
      </c>
      <c r="E139" s="150"/>
      <c r="F139" s="149" t="s">
        <v>23</v>
      </c>
      <c r="G139" s="150"/>
      <c r="H139" s="156"/>
      <c r="I139" s="159"/>
      <c r="J139" s="6">
        <v>224</v>
      </c>
    </row>
    <row r="140" spans="1:10">
      <c r="A140" s="32" t="str">
        <f t="shared" si="3"/>
        <v>DM13225</v>
      </c>
      <c r="B140" s="151" t="s">
        <v>131</v>
      </c>
      <c r="C140" s="151" t="s">
        <v>81</v>
      </c>
      <c r="D140" s="149" t="s">
        <v>25</v>
      </c>
      <c r="E140" s="150"/>
      <c r="F140" s="149" t="s">
        <v>65</v>
      </c>
      <c r="G140" s="150"/>
      <c r="H140" s="154" t="s">
        <v>132</v>
      </c>
      <c r="I140" s="157" t="s">
        <v>64</v>
      </c>
      <c r="J140" s="6">
        <v>225</v>
      </c>
    </row>
    <row r="141" spans="1:10">
      <c r="A141" s="32" t="str">
        <f t="shared" si="3"/>
        <v>DM13226</v>
      </c>
      <c r="B141" s="152"/>
      <c r="C141" s="152"/>
      <c r="D141" s="149" t="s">
        <v>26</v>
      </c>
      <c r="E141" s="150"/>
      <c r="F141" s="149" t="s">
        <v>27</v>
      </c>
      <c r="G141" s="150"/>
      <c r="H141" s="155"/>
      <c r="I141" s="158"/>
      <c r="J141" s="6">
        <v>226</v>
      </c>
    </row>
    <row r="142" spans="1:10">
      <c r="A142" s="32" t="str">
        <f t="shared" si="3"/>
        <v>DM13227</v>
      </c>
      <c r="B142" s="152"/>
      <c r="C142" s="152"/>
      <c r="D142" s="149" t="s">
        <v>28</v>
      </c>
      <c r="E142" s="150"/>
      <c r="F142" s="149" t="s">
        <v>29</v>
      </c>
      <c r="G142" s="150"/>
      <c r="H142" s="155"/>
      <c r="I142" s="158"/>
      <c r="J142" s="6">
        <v>227</v>
      </c>
    </row>
    <row r="143" spans="1:10">
      <c r="A143" s="32" t="str">
        <f t="shared" si="3"/>
        <v>DM13228</v>
      </c>
      <c r="B143" s="152"/>
      <c r="C143" s="152"/>
      <c r="D143" s="149" t="s">
        <v>30</v>
      </c>
      <c r="E143" s="150"/>
      <c r="F143" s="149" t="s">
        <v>31</v>
      </c>
      <c r="G143" s="150"/>
      <c r="H143" s="155"/>
      <c r="I143" s="158"/>
      <c r="J143" s="6">
        <v>228</v>
      </c>
    </row>
    <row r="144" spans="1:10">
      <c r="A144" s="32" t="str">
        <f t="shared" si="3"/>
        <v>DM13229</v>
      </c>
      <c r="B144" s="152"/>
      <c r="C144" s="152"/>
      <c r="D144" s="149" t="s">
        <v>11</v>
      </c>
      <c r="E144" s="150"/>
      <c r="F144" s="149" t="s">
        <v>12</v>
      </c>
      <c r="G144" s="150"/>
      <c r="H144" s="155"/>
      <c r="I144" s="158"/>
      <c r="J144" s="6">
        <v>229</v>
      </c>
    </row>
    <row r="145" spans="1:10">
      <c r="A145" s="32" t="str">
        <f t="shared" si="3"/>
        <v>DM13230</v>
      </c>
      <c r="B145" s="152"/>
      <c r="C145" s="152"/>
      <c r="D145" s="149" t="s">
        <v>13</v>
      </c>
      <c r="E145" s="150"/>
      <c r="F145" s="149" t="s">
        <v>14</v>
      </c>
      <c r="G145" s="150"/>
      <c r="H145" s="155"/>
      <c r="I145" s="158"/>
      <c r="J145" s="6">
        <v>230</v>
      </c>
    </row>
    <row r="146" spans="1:10">
      <c r="A146" s="32" t="str">
        <f t="shared" si="3"/>
        <v>DM13231</v>
      </c>
      <c r="B146" s="152"/>
      <c r="C146" s="152"/>
      <c r="D146" s="149" t="s">
        <v>16</v>
      </c>
      <c r="E146" s="150"/>
      <c r="F146" s="149" t="s">
        <v>17</v>
      </c>
      <c r="G146" s="150"/>
      <c r="H146" s="155"/>
      <c r="I146" s="158"/>
      <c r="J146" s="6">
        <v>231</v>
      </c>
    </row>
    <row r="147" spans="1:10">
      <c r="A147" s="32" t="str">
        <f t="shared" si="3"/>
        <v>DM13232</v>
      </c>
      <c r="B147" s="152"/>
      <c r="C147" s="152"/>
      <c r="D147" s="149" t="s">
        <v>18</v>
      </c>
      <c r="E147" s="150"/>
      <c r="F147" s="149" t="s">
        <v>19</v>
      </c>
      <c r="G147" s="150"/>
      <c r="H147" s="155"/>
      <c r="I147" s="158"/>
      <c r="J147" s="6">
        <v>232</v>
      </c>
    </row>
    <row r="148" spans="1:10">
      <c r="A148" s="32" t="str">
        <f t="shared" si="3"/>
        <v>DM13233</v>
      </c>
      <c r="B148" s="152"/>
      <c r="C148" s="152"/>
      <c r="D148" s="149" t="s">
        <v>20</v>
      </c>
      <c r="E148" s="150"/>
      <c r="F148" s="149" t="s">
        <v>21</v>
      </c>
      <c r="G148" s="150"/>
      <c r="H148" s="155"/>
      <c r="I148" s="158"/>
      <c r="J148" s="6">
        <v>233</v>
      </c>
    </row>
    <row r="149" spans="1:10">
      <c r="A149" s="32" t="str">
        <f t="shared" si="3"/>
        <v>DM13234</v>
      </c>
      <c r="B149" s="153"/>
      <c r="C149" s="153"/>
      <c r="D149" s="149" t="s">
        <v>22</v>
      </c>
      <c r="E149" s="150"/>
      <c r="F149" s="149" t="s">
        <v>23</v>
      </c>
      <c r="G149" s="150"/>
      <c r="H149" s="156"/>
      <c r="I149" s="159"/>
      <c r="J149" s="6">
        <v>234</v>
      </c>
    </row>
    <row r="150" spans="1:10">
      <c r="A150" s="32" t="str">
        <f t="shared" si="3"/>
        <v>DM13235</v>
      </c>
      <c r="B150" s="151" t="s">
        <v>133</v>
      </c>
      <c r="C150" s="151" t="s">
        <v>81</v>
      </c>
      <c r="D150" s="149" t="s">
        <v>25</v>
      </c>
      <c r="E150" s="150"/>
      <c r="F150" s="149" t="s">
        <v>65</v>
      </c>
      <c r="G150" s="150"/>
      <c r="H150" s="154" t="s">
        <v>134</v>
      </c>
      <c r="I150" s="157" t="s">
        <v>64</v>
      </c>
      <c r="J150" s="6">
        <v>235</v>
      </c>
    </row>
    <row r="151" spans="1:10">
      <c r="A151" s="32" t="str">
        <f t="shared" si="3"/>
        <v>DM13236</v>
      </c>
      <c r="B151" s="152"/>
      <c r="C151" s="152"/>
      <c r="D151" s="149" t="s">
        <v>26</v>
      </c>
      <c r="E151" s="150"/>
      <c r="F151" s="149" t="s">
        <v>27</v>
      </c>
      <c r="G151" s="150"/>
      <c r="H151" s="155"/>
      <c r="I151" s="158"/>
      <c r="J151" s="6">
        <v>236</v>
      </c>
    </row>
    <row r="152" spans="1:10">
      <c r="A152" s="32" t="str">
        <f t="shared" si="3"/>
        <v>DM13237</v>
      </c>
      <c r="B152" s="152"/>
      <c r="C152" s="152"/>
      <c r="D152" s="149" t="s">
        <v>28</v>
      </c>
      <c r="E152" s="150"/>
      <c r="F152" s="149" t="s">
        <v>29</v>
      </c>
      <c r="G152" s="150"/>
      <c r="H152" s="155"/>
      <c r="I152" s="158"/>
      <c r="J152" s="6">
        <v>237</v>
      </c>
    </row>
    <row r="153" spans="1:10">
      <c r="A153" s="32" t="str">
        <f t="shared" si="3"/>
        <v>DM13238</v>
      </c>
      <c r="B153" s="152"/>
      <c r="C153" s="152"/>
      <c r="D153" s="149" t="s">
        <v>30</v>
      </c>
      <c r="E153" s="150"/>
      <c r="F153" s="149" t="s">
        <v>31</v>
      </c>
      <c r="G153" s="150"/>
      <c r="H153" s="155"/>
      <c r="I153" s="158"/>
      <c r="J153" s="6">
        <v>238</v>
      </c>
    </row>
    <row r="154" spans="1:10">
      <c r="A154" s="32" t="str">
        <f t="shared" si="3"/>
        <v>DM13239</v>
      </c>
      <c r="B154" s="152"/>
      <c r="C154" s="152"/>
      <c r="D154" s="149" t="s">
        <v>11</v>
      </c>
      <c r="E154" s="150"/>
      <c r="F154" s="149" t="s">
        <v>12</v>
      </c>
      <c r="G154" s="150"/>
      <c r="H154" s="155"/>
      <c r="I154" s="158"/>
      <c r="J154" s="6">
        <v>239</v>
      </c>
    </row>
    <row r="155" spans="1:10">
      <c r="A155" s="32" t="str">
        <f t="shared" si="3"/>
        <v>DM13240</v>
      </c>
      <c r="B155" s="152"/>
      <c r="C155" s="152"/>
      <c r="D155" s="149" t="s">
        <v>13</v>
      </c>
      <c r="E155" s="150"/>
      <c r="F155" s="149" t="s">
        <v>14</v>
      </c>
      <c r="G155" s="150"/>
      <c r="H155" s="155"/>
      <c r="I155" s="158"/>
      <c r="J155" s="6">
        <v>240</v>
      </c>
    </row>
    <row r="156" spans="1:10">
      <c r="A156" s="32" t="str">
        <f t="shared" si="3"/>
        <v>DM13241</v>
      </c>
      <c r="B156" s="152"/>
      <c r="C156" s="152"/>
      <c r="D156" s="149" t="s">
        <v>16</v>
      </c>
      <c r="E156" s="150"/>
      <c r="F156" s="149" t="s">
        <v>17</v>
      </c>
      <c r="G156" s="150"/>
      <c r="H156" s="155"/>
      <c r="I156" s="158"/>
      <c r="J156" s="6">
        <v>241</v>
      </c>
    </row>
    <row r="157" spans="1:10">
      <c r="A157" s="32" t="str">
        <f t="shared" si="3"/>
        <v>DM13242</v>
      </c>
      <c r="B157" s="152"/>
      <c r="C157" s="152"/>
      <c r="D157" s="149" t="s">
        <v>18</v>
      </c>
      <c r="E157" s="150"/>
      <c r="F157" s="149" t="s">
        <v>19</v>
      </c>
      <c r="G157" s="150"/>
      <c r="H157" s="155"/>
      <c r="I157" s="158"/>
      <c r="J157" s="6">
        <v>242</v>
      </c>
    </row>
    <row r="158" spans="1:10">
      <c r="A158" s="32" t="str">
        <f t="shared" si="3"/>
        <v>DM13243</v>
      </c>
      <c r="B158" s="152"/>
      <c r="C158" s="152"/>
      <c r="D158" s="149" t="s">
        <v>20</v>
      </c>
      <c r="E158" s="150"/>
      <c r="F158" s="149" t="s">
        <v>21</v>
      </c>
      <c r="G158" s="150"/>
      <c r="H158" s="155"/>
      <c r="I158" s="158"/>
      <c r="J158" s="6">
        <v>243</v>
      </c>
    </row>
    <row r="159" spans="1:10">
      <c r="A159" s="32" t="str">
        <f t="shared" si="3"/>
        <v>DM13244</v>
      </c>
      <c r="B159" s="153"/>
      <c r="C159" s="153"/>
      <c r="D159" s="149" t="s">
        <v>22</v>
      </c>
      <c r="E159" s="150"/>
      <c r="F159" s="149" t="s">
        <v>23</v>
      </c>
      <c r="G159" s="150"/>
      <c r="H159" s="156"/>
      <c r="I159" s="159"/>
      <c r="J159" s="6">
        <v>244</v>
      </c>
    </row>
    <row r="160" spans="1:10">
      <c r="A160" s="32" t="str">
        <f t="shared" si="3"/>
        <v>DM13245</v>
      </c>
      <c r="B160" s="151" t="s">
        <v>135</v>
      </c>
      <c r="C160" s="151" t="s">
        <v>81</v>
      </c>
      <c r="D160" s="149" t="s">
        <v>25</v>
      </c>
      <c r="E160" s="150"/>
      <c r="F160" s="149" t="s">
        <v>65</v>
      </c>
      <c r="G160" s="150"/>
      <c r="H160" s="154" t="s">
        <v>136</v>
      </c>
      <c r="I160" s="157" t="s">
        <v>64</v>
      </c>
      <c r="J160" s="6">
        <v>245</v>
      </c>
    </row>
    <row r="161" spans="1:10">
      <c r="A161" s="32" t="str">
        <f t="shared" si="3"/>
        <v>DM13246</v>
      </c>
      <c r="B161" s="152"/>
      <c r="C161" s="152"/>
      <c r="D161" s="149" t="s">
        <v>26</v>
      </c>
      <c r="E161" s="150"/>
      <c r="F161" s="149" t="s">
        <v>27</v>
      </c>
      <c r="G161" s="150"/>
      <c r="H161" s="155"/>
      <c r="I161" s="158"/>
      <c r="J161" s="6">
        <v>246</v>
      </c>
    </row>
    <row r="162" spans="1:10">
      <c r="A162" s="32" t="str">
        <f t="shared" si="3"/>
        <v>DM13247</v>
      </c>
      <c r="B162" s="152"/>
      <c r="C162" s="152"/>
      <c r="D162" s="149" t="s">
        <v>28</v>
      </c>
      <c r="E162" s="150"/>
      <c r="F162" s="149" t="s">
        <v>29</v>
      </c>
      <c r="G162" s="150"/>
      <c r="H162" s="155"/>
      <c r="I162" s="158"/>
      <c r="J162" s="6">
        <v>247</v>
      </c>
    </row>
    <row r="163" spans="1:10">
      <c r="A163" s="32" t="str">
        <f t="shared" si="3"/>
        <v>DM13248</v>
      </c>
      <c r="B163" s="152"/>
      <c r="C163" s="152"/>
      <c r="D163" s="149" t="s">
        <v>30</v>
      </c>
      <c r="E163" s="150"/>
      <c r="F163" s="149" t="s">
        <v>31</v>
      </c>
      <c r="G163" s="150"/>
      <c r="H163" s="155"/>
      <c r="I163" s="158"/>
      <c r="J163" s="6">
        <v>248</v>
      </c>
    </row>
    <row r="164" spans="1:10">
      <c r="A164" s="32" t="str">
        <f t="shared" si="3"/>
        <v>DM13249</v>
      </c>
      <c r="B164" s="152"/>
      <c r="C164" s="152"/>
      <c r="D164" s="149" t="s">
        <v>11</v>
      </c>
      <c r="E164" s="150"/>
      <c r="F164" s="149" t="s">
        <v>12</v>
      </c>
      <c r="G164" s="150"/>
      <c r="H164" s="155"/>
      <c r="I164" s="158"/>
      <c r="J164" s="6">
        <v>249</v>
      </c>
    </row>
    <row r="165" spans="1:10">
      <c r="A165" s="32" t="str">
        <f t="shared" si="3"/>
        <v>DM13250</v>
      </c>
      <c r="B165" s="152"/>
      <c r="C165" s="152"/>
      <c r="D165" s="149" t="s">
        <v>13</v>
      </c>
      <c r="E165" s="150"/>
      <c r="F165" s="149" t="s">
        <v>14</v>
      </c>
      <c r="G165" s="150"/>
      <c r="H165" s="155"/>
      <c r="I165" s="158"/>
      <c r="J165" s="6">
        <v>250</v>
      </c>
    </row>
    <row r="166" spans="1:10">
      <c r="A166" s="32" t="str">
        <f t="shared" si="3"/>
        <v>DM13251</v>
      </c>
      <c r="B166" s="152"/>
      <c r="C166" s="152"/>
      <c r="D166" s="149" t="s">
        <v>16</v>
      </c>
      <c r="E166" s="150"/>
      <c r="F166" s="149" t="s">
        <v>17</v>
      </c>
      <c r="G166" s="150"/>
      <c r="H166" s="155"/>
      <c r="I166" s="158"/>
      <c r="J166" s="6">
        <v>251</v>
      </c>
    </row>
    <row r="167" spans="1:10">
      <c r="A167" s="32" t="str">
        <f t="shared" si="3"/>
        <v>DM13252</v>
      </c>
      <c r="B167" s="152"/>
      <c r="C167" s="152"/>
      <c r="D167" s="149" t="s">
        <v>18</v>
      </c>
      <c r="E167" s="150"/>
      <c r="F167" s="149" t="s">
        <v>19</v>
      </c>
      <c r="G167" s="150"/>
      <c r="H167" s="155"/>
      <c r="I167" s="158"/>
      <c r="J167" s="6">
        <v>252</v>
      </c>
    </row>
    <row r="168" spans="1:10">
      <c r="A168" s="32" t="str">
        <f t="shared" si="3"/>
        <v>DM13253</v>
      </c>
      <c r="B168" s="152"/>
      <c r="C168" s="152"/>
      <c r="D168" s="149" t="s">
        <v>20</v>
      </c>
      <c r="E168" s="150"/>
      <c r="F168" s="149" t="s">
        <v>21</v>
      </c>
      <c r="G168" s="150"/>
      <c r="H168" s="155"/>
      <c r="I168" s="158"/>
      <c r="J168" s="6">
        <v>253</v>
      </c>
    </row>
    <row r="169" spans="1:10">
      <c r="A169" s="32" t="str">
        <f t="shared" si="3"/>
        <v>DM13254</v>
      </c>
      <c r="B169" s="153"/>
      <c r="C169" s="153"/>
      <c r="D169" s="149" t="s">
        <v>22</v>
      </c>
      <c r="E169" s="150"/>
      <c r="F169" s="149" t="s">
        <v>23</v>
      </c>
      <c r="G169" s="150"/>
      <c r="H169" s="156"/>
      <c r="I169" s="159"/>
      <c r="J169" s="6">
        <v>254</v>
      </c>
    </row>
    <row r="170" spans="1:10">
      <c r="A170" s="32" t="str">
        <f t="shared" si="3"/>
        <v>DM13255</v>
      </c>
      <c r="B170" s="151" t="s">
        <v>137</v>
      </c>
      <c r="C170" s="151" t="s">
        <v>81</v>
      </c>
      <c r="D170" s="149" t="s">
        <v>25</v>
      </c>
      <c r="E170" s="150"/>
      <c r="F170" s="149" t="s">
        <v>65</v>
      </c>
      <c r="G170" s="150"/>
      <c r="H170" s="154" t="s">
        <v>138</v>
      </c>
      <c r="I170" s="157" t="s">
        <v>64</v>
      </c>
      <c r="J170" s="6">
        <v>255</v>
      </c>
    </row>
    <row r="171" spans="1:10">
      <c r="A171" s="32" t="str">
        <f t="shared" si="3"/>
        <v>DM13256</v>
      </c>
      <c r="B171" s="152"/>
      <c r="C171" s="152"/>
      <c r="D171" s="149" t="s">
        <v>26</v>
      </c>
      <c r="E171" s="150"/>
      <c r="F171" s="149" t="s">
        <v>27</v>
      </c>
      <c r="G171" s="150"/>
      <c r="H171" s="155"/>
      <c r="I171" s="158"/>
      <c r="J171" s="6">
        <v>256</v>
      </c>
    </row>
    <row r="172" spans="1:10">
      <c r="A172" s="32" t="str">
        <f t="shared" si="3"/>
        <v>DM13257</v>
      </c>
      <c r="B172" s="152"/>
      <c r="C172" s="152"/>
      <c r="D172" s="149" t="s">
        <v>28</v>
      </c>
      <c r="E172" s="150"/>
      <c r="F172" s="149" t="s">
        <v>29</v>
      </c>
      <c r="G172" s="150"/>
      <c r="H172" s="155"/>
      <c r="I172" s="158"/>
      <c r="J172" s="6">
        <v>257</v>
      </c>
    </row>
    <row r="173" spans="1:10">
      <c r="A173" s="32" t="str">
        <f t="shared" si="3"/>
        <v>DM13258</v>
      </c>
      <c r="B173" s="152"/>
      <c r="C173" s="152"/>
      <c r="D173" s="149" t="s">
        <v>30</v>
      </c>
      <c r="E173" s="150"/>
      <c r="F173" s="149" t="s">
        <v>31</v>
      </c>
      <c r="G173" s="150"/>
      <c r="H173" s="155"/>
      <c r="I173" s="158"/>
      <c r="J173" s="6">
        <v>258</v>
      </c>
    </row>
    <row r="174" spans="1:10">
      <c r="A174" s="32" t="str">
        <f t="shared" si="3"/>
        <v>DM13259</v>
      </c>
      <c r="B174" s="152"/>
      <c r="C174" s="152"/>
      <c r="D174" s="149" t="s">
        <v>11</v>
      </c>
      <c r="E174" s="150"/>
      <c r="F174" s="149" t="s">
        <v>12</v>
      </c>
      <c r="G174" s="150"/>
      <c r="H174" s="155"/>
      <c r="I174" s="158"/>
      <c r="J174" s="6">
        <v>259</v>
      </c>
    </row>
    <row r="175" spans="1:10">
      <c r="A175" s="32" t="str">
        <f t="shared" si="3"/>
        <v>DM13260</v>
      </c>
      <c r="B175" s="152"/>
      <c r="C175" s="152"/>
      <c r="D175" s="149" t="s">
        <v>13</v>
      </c>
      <c r="E175" s="150"/>
      <c r="F175" s="149" t="s">
        <v>14</v>
      </c>
      <c r="G175" s="150"/>
      <c r="H175" s="155"/>
      <c r="I175" s="158"/>
      <c r="J175" s="6">
        <v>260</v>
      </c>
    </row>
    <row r="176" spans="1:10">
      <c r="A176" s="32" t="str">
        <f t="shared" si="3"/>
        <v>DM13261</v>
      </c>
      <c r="B176" s="152"/>
      <c r="C176" s="152"/>
      <c r="D176" s="149" t="s">
        <v>16</v>
      </c>
      <c r="E176" s="150"/>
      <c r="F176" s="149" t="s">
        <v>17</v>
      </c>
      <c r="G176" s="150"/>
      <c r="H176" s="155"/>
      <c r="I176" s="158"/>
      <c r="J176" s="6">
        <v>261</v>
      </c>
    </row>
    <row r="177" spans="1:10">
      <c r="A177" s="32" t="str">
        <f t="shared" si="3"/>
        <v>DM13262</v>
      </c>
      <c r="B177" s="152"/>
      <c r="C177" s="152"/>
      <c r="D177" s="149" t="s">
        <v>18</v>
      </c>
      <c r="E177" s="150"/>
      <c r="F177" s="149" t="s">
        <v>19</v>
      </c>
      <c r="G177" s="150"/>
      <c r="H177" s="155"/>
      <c r="I177" s="158"/>
      <c r="J177" s="6">
        <v>262</v>
      </c>
    </row>
    <row r="178" spans="1:10">
      <c r="A178" s="32" t="str">
        <f t="shared" si="3"/>
        <v>DM13263</v>
      </c>
      <c r="B178" s="152"/>
      <c r="C178" s="152"/>
      <c r="D178" s="149" t="s">
        <v>20</v>
      </c>
      <c r="E178" s="150"/>
      <c r="F178" s="149" t="s">
        <v>21</v>
      </c>
      <c r="G178" s="150"/>
      <c r="H178" s="155"/>
      <c r="I178" s="158"/>
      <c r="J178" s="6">
        <v>263</v>
      </c>
    </row>
    <row r="179" spans="1:10">
      <c r="A179" s="32" t="str">
        <f t="shared" si="3"/>
        <v>DM13264</v>
      </c>
      <c r="B179" s="153"/>
      <c r="C179" s="153"/>
      <c r="D179" s="149" t="s">
        <v>22</v>
      </c>
      <c r="E179" s="150"/>
      <c r="F179" s="149" t="s">
        <v>23</v>
      </c>
      <c r="G179" s="150"/>
      <c r="H179" s="156"/>
      <c r="I179" s="159"/>
      <c r="J179" s="6">
        <v>264</v>
      </c>
    </row>
    <row r="180" spans="1:10">
      <c r="A180" s="32" t="str">
        <f t="shared" si="3"/>
        <v>DM13265</v>
      </c>
      <c r="B180" s="151" t="s">
        <v>139</v>
      </c>
      <c r="C180" s="151" t="s">
        <v>81</v>
      </c>
      <c r="D180" s="149" t="s">
        <v>25</v>
      </c>
      <c r="E180" s="150"/>
      <c r="F180" s="149" t="s">
        <v>65</v>
      </c>
      <c r="G180" s="150"/>
      <c r="H180" s="154" t="s">
        <v>140</v>
      </c>
      <c r="I180" s="157" t="s">
        <v>64</v>
      </c>
      <c r="J180" s="6">
        <v>265</v>
      </c>
    </row>
    <row r="181" spans="1:10">
      <c r="A181" s="32" t="str">
        <f t="shared" si="3"/>
        <v>DM13266</v>
      </c>
      <c r="B181" s="152"/>
      <c r="C181" s="152"/>
      <c r="D181" s="149" t="s">
        <v>26</v>
      </c>
      <c r="E181" s="150"/>
      <c r="F181" s="149" t="s">
        <v>27</v>
      </c>
      <c r="G181" s="150"/>
      <c r="H181" s="155"/>
      <c r="I181" s="158"/>
      <c r="J181" s="6">
        <v>266</v>
      </c>
    </row>
    <row r="182" spans="1:10">
      <c r="A182" s="32" t="str">
        <f t="shared" si="3"/>
        <v>DM13267</v>
      </c>
      <c r="B182" s="152"/>
      <c r="C182" s="152"/>
      <c r="D182" s="149" t="s">
        <v>28</v>
      </c>
      <c r="E182" s="150"/>
      <c r="F182" s="149" t="s">
        <v>29</v>
      </c>
      <c r="G182" s="150"/>
      <c r="H182" s="155"/>
      <c r="I182" s="158"/>
      <c r="J182" s="6">
        <v>267</v>
      </c>
    </row>
    <row r="183" spans="1:10">
      <c r="A183" s="32" t="str">
        <f t="shared" si="3"/>
        <v>DM13268</v>
      </c>
      <c r="B183" s="152"/>
      <c r="C183" s="152"/>
      <c r="D183" s="149" t="s">
        <v>30</v>
      </c>
      <c r="E183" s="150"/>
      <c r="F183" s="149" t="s">
        <v>31</v>
      </c>
      <c r="G183" s="150"/>
      <c r="H183" s="155"/>
      <c r="I183" s="158"/>
      <c r="J183" s="6">
        <v>268</v>
      </c>
    </row>
    <row r="184" spans="1:10">
      <c r="A184" s="32" t="str">
        <f t="shared" si="3"/>
        <v>DM13269</v>
      </c>
      <c r="B184" s="152"/>
      <c r="C184" s="152"/>
      <c r="D184" s="149" t="s">
        <v>11</v>
      </c>
      <c r="E184" s="150"/>
      <c r="F184" s="149" t="s">
        <v>12</v>
      </c>
      <c r="G184" s="150"/>
      <c r="H184" s="155"/>
      <c r="I184" s="158"/>
      <c r="J184" s="6">
        <v>269</v>
      </c>
    </row>
    <row r="185" spans="1:10">
      <c r="A185" s="32" t="str">
        <f t="shared" si="3"/>
        <v>DM13270</v>
      </c>
      <c r="B185" s="152"/>
      <c r="C185" s="152"/>
      <c r="D185" s="149" t="s">
        <v>13</v>
      </c>
      <c r="E185" s="150"/>
      <c r="F185" s="149" t="s">
        <v>14</v>
      </c>
      <c r="G185" s="150"/>
      <c r="H185" s="155"/>
      <c r="I185" s="158"/>
      <c r="J185" s="6">
        <v>270</v>
      </c>
    </row>
    <row r="186" spans="1:10">
      <c r="A186" s="32" t="str">
        <f t="shared" si="3"/>
        <v>DM13271</v>
      </c>
      <c r="B186" s="152"/>
      <c r="C186" s="152"/>
      <c r="D186" s="149" t="s">
        <v>16</v>
      </c>
      <c r="E186" s="150"/>
      <c r="F186" s="149" t="s">
        <v>17</v>
      </c>
      <c r="G186" s="150"/>
      <c r="H186" s="155"/>
      <c r="I186" s="158"/>
      <c r="J186" s="6">
        <v>271</v>
      </c>
    </row>
    <row r="187" spans="1:10">
      <c r="A187" s="32" t="str">
        <f t="shared" si="3"/>
        <v>DM13272</v>
      </c>
      <c r="B187" s="152"/>
      <c r="C187" s="152"/>
      <c r="D187" s="149" t="s">
        <v>18</v>
      </c>
      <c r="E187" s="150"/>
      <c r="F187" s="149" t="s">
        <v>19</v>
      </c>
      <c r="G187" s="150"/>
      <c r="H187" s="155"/>
      <c r="I187" s="158"/>
      <c r="J187" s="6">
        <v>272</v>
      </c>
    </row>
    <row r="188" spans="1:10">
      <c r="A188" s="32" t="str">
        <f t="shared" si="3"/>
        <v>DM13273</v>
      </c>
      <c r="B188" s="152"/>
      <c r="C188" s="152"/>
      <c r="D188" s="149" t="s">
        <v>20</v>
      </c>
      <c r="E188" s="150"/>
      <c r="F188" s="149" t="s">
        <v>21</v>
      </c>
      <c r="G188" s="150"/>
      <c r="H188" s="155"/>
      <c r="I188" s="158"/>
      <c r="J188" s="6">
        <v>273</v>
      </c>
    </row>
    <row r="189" spans="1:10">
      <c r="A189" s="32" t="str">
        <f t="shared" si="3"/>
        <v>DM13274</v>
      </c>
      <c r="B189" s="153"/>
      <c r="C189" s="153"/>
      <c r="D189" s="149" t="s">
        <v>22</v>
      </c>
      <c r="E189" s="150"/>
      <c r="F189" s="149" t="s">
        <v>23</v>
      </c>
      <c r="G189" s="150"/>
      <c r="H189" s="156"/>
      <c r="I189" s="159"/>
      <c r="J189" s="6">
        <v>274</v>
      </c>
    </row>
    <row r="190" spans="1:10">
      <c r="A190" s="32" t="str">
        <f t="shared" si="3"/>
        <v>DM13275</v>
      </c>
      <c r="B190" s="151" t="s">
        <v>141</v>
      </c>
      <c r="C190" s="151" t="s">
        <v>81</v>
      </c>
      <c r="D190" s="149" t="s">
        <v>25</v>
      </c>
      <c r="E190" s="150"/>
      <c r="F190" s="149" t="s">
        <v>65</v>
      </c>
      <c r="G190" s="150"/>
      <c r="H190" s="154" t="s">
        <v>142</v>
      </c>
      <c r="I190" s="157" t="s">
        <v>64</v>
      </c>
      <c r="J190" s="6">
        <v>275</v>
      </c>
    </row>
    <row r="191" spans="1:10">
      <c r="A191" s="32" t="str">
        <f t="shared" si="3"/>
        <v>DM13276</v>
      </c>
      <c r="B191" s="152"/>
      <c r="C191" s="152"/>
      <c r="D191" s="149" t="s">
        <v>26</v>
      </c>
      <c r="E191" s="150"/>
      <c r="F191" s="149" t="s">
        <v>27</v>
      </c>
      <c r="G191" s="150"/>
      <c r="H191" s="155"/>
      <c r="I191" s="158"/>
      <c r="J191" s="6">
        <v>276</v>
      </c>
    </row>
    <row r="192" spans="1:10">
      <c r="A192" s="32" t="str">
        <f t="shared" si="3"/>
        <v>DM13277</v>
      </c>
      <c r="B192" s="152"/>
      <c r="C192" s="152"/>
      <c r="D192" s="149" t="s">
        <v>28</v>
      </c>
      <c r="E192" s="150"/>
      <c r="F192" s="149" t="s">
        <v>29</v>
      </c>
      <c r="G192" s="150"/>
      <c r="H192" s="155"/>
      <c r="I192" s="158"/>
      <c r="J192" s="6">
        <v>277</v>
      </c>
    </row>
    <row r="193" spans="1:10">
      <c r="A193" s="32" t="str">
        <f t="shared" ref="A193:A256" si="4">LEFT($C$3, 2) &amp; (MID($C$3, 3, LEN($C$3)) + J193)</f>
        <v>DM13278</v>
      </c>
      <c r="B193" s="152"/>
      <c r="C193" s="152"/>
      <c r="D193" s="149" t="s">
        <v>30</v>
      </c>
      <c r="E193" s="150"/>
      <c r="F193" s="149" t="s">
        <v>31</v>
      </c>
      <c r="G193" s="150"/>
      <c r="H193" s="155"/>
      <c r="I193" s="158"/>
      <c r="J193" s="6">
        <v>278</v>
      </c>
    </row>
    <row r="194" spans="1:10">
      <c r="A194" s="32" t="str">
        <f t="shared" si="4"/>
        <v>DM13279</v>
      </c>
      <c r="B194" s="152"/>
      <c r="C194" s="152"/>
      <c r="D194" s="149" t="s">
        <v>11</v>
      </c>
      <c r="E194" s="150"/>
      <c r="F194" s="149" t="s">
        <v>12</v>
      </c>
      <c r="G194" s="150"/>
      <c r="H194" s="155"/>
      <c r="I194" s="158"/>
      <c r="J194" s="6">
        <v>279</v>
      </c>
    </row>
    <row r="195" spans="1:10">
      <c r="A195" s="32" t="str">
        <f t="shared" si="4"/>
        <v>DM13280</v>
      </c>
      <c r="B195" s="152"/>
      <c r="C195" s="152"/>
      <c r="D195" s="149" t="s">
        <v>13</v>
      </c>
      <c r="E195" s="150"/>
      <c r="F195" s="149" t="s">
        <v>14</v>
      </c>
      <c r="G195" s="150"/>
      <c r="H195" s="155"/>
      <c r="I195" s="158"/>
      <c r="J195" s="6">
        <v>280</v>
      </c>
    </row>
    <row r="196" spans="1:10">
      <c r="A196" s="32" t="str">
        <f t="shared" si="4"/>
        <v>DM13281</v>
      </c>
      <c r="B196" s="152"/>
      <c r="C196" s="152"/>
      <c r="D196" s="149" t="s">
        <v>16</v>
      </c>
      <c r="E196" s="150"/>
      <c r="F196" s="149" t="s">
        <v>17</v>
      </c>
      <c r="G196" s="150"/>
      <c r="H196" s="155"/>
      <c r="I196" s="158"/>
      <c r="J196" s="6">
        <v>281</v>
      </c>
    </row>
    <row r="197" spans="1:10">
      <c r="A197" s="32" t="str">
        <f t="shared" si="4"/>
        <v>DM13282</v>
      </c>
      <c r="B197" s="152"/>
      <c r="C197" s="152"/>
      <c r="D197" s="149" t="s">
        <v>18</v>
      </c>
      <c r="E197" s="150"/>
      <c r="F197" s="149" t="s">
        <v>19</v>
      </c>
      <c r="G197" s="150"/>
      <c r="H197" s="155"/>
      <c r="I197" s="158"/>
      <c r="J197" s="6">
        <v>282</v>
      </c>
    </row>
    <row r="198" spans="1:10">
      <c r="A198" s="32" t="str">
        <f t="shared" si="4"/>
        <v>DM13283</v>
      </c>
      <c r="B198" s="152"/>
      <c r="C198" s="152"/>
      <c r="D198" s="149" t="s">
        <v>20</v>
      </c>
      <c r="E198" s="150"/>
      <c r="F198" s="149" t="s">
        <v>21</v>
      </c>
      <c r="G198" s="150"/>
      <c r="H198" s="155"/>
      <c r="I198" s="158"/>
      <c r="J198" s="6">
        <v>283</v>
      </c>
    </row>
    <row r="199" spans="1:10">
      <c r="A199" s="32" t="str">
        <f t="shared" si="4"/>
        <v>DM13284</v>
      </c>
      <c r="B199" s="153"/>
      <c r="C199" s="153"/>
      <c r="D199" s="149" t="s">
        <v>22</v>
      </c>
      <c r="E199" s="150"/>
      <c r="F199" s="149" t="s">
        <v>23</v>
      </c>
      <c r="G199" s="150"/>
      <c r="H199" s="156"/>
      <c r="I199" s="159"/>
      <c r="J199" s="6">
        <v>284</v>
      </c>
    </row>
    <row r="200" spans="1:10">
      <c r="A200" s="32" t="str">
        <f t="shared" si="4"/>
        <v>DM13285</v>
      </c>
      <c r="B200" s="151" t="s">
        <v>143</v>
      </c>
      <c r="C200" s="151" t="s">
        <v>81</v>
      </c>
      <c r="D200" s="149" t="s">
        <v>25</v>
      </c>
      <c r="E200" s="150"/>
      <c r="F200" s="149" t="s">
        <v>65</v>
      </c>
      <c r="G200" s="150"/>
      <c r="H200" s="154" t="s">
        <v>144</v>
      </c>
      <c r="I200" s="157" t="s">
        <v>64</v>
      </c>
      <c r="J200" s="6">
        <v>285</v>
      </c>
    </row>
    <row r="201" spans="1:10">
      <c r="A201" s="32" t="str">
        <f t="shared" si="4"/>
        <v>DM13286</v>
      </c>
      <c r="B201" s="152"/>
      <c r="C201" s="152"/>
      <c r="D201" s="149" t="s">
        <v>26</v>
      </c>
      <c r="E201" s="150"/>
      <c r="F201" s="149" t="s">
        <v>27</v>
      </c>
      <c r="G201" s="150"/>
      <c r="H201" s="155"/>
      <c r="I201" s="158"/>
      <c r="J201" s="6">
        <v>286</v>
      </c>
    </row>
    <row r="202" spans="1:10">
      <c r="A202" s="32" t="str">
        <f t="shared" si="4"/>
        <v>DM13287</v>
      </c>
      <c r="B202" s="152"/>
      <c r="C202" s="152"/>
      <c r="D202" s="149" t="s">
        <v>28</v>
      </c>
      <c r="E202" s="150"/>
      <c r="F202" s="149" t="s">
        <v>29</v>
      </c>
      <c r="G202" s="150"/>
      <c r="H202" s="155"/>
      <c r="I202" s="158"/>
      <c r="J202" s="6">
        <v>287</v>
      </c>
    </row>
    <row r="203" spans="1:10">
      <c r="A203" s="32" t="str">
        <f t="shared" si="4"/>
        <v>DM13288</v>
      </c>
      <c r="B203" s="152"/>
      <c r="C203" s="152"/>
      <c r="D203" s="149" t="s">
        <v>30</v>
      </c>
      <c r="E203" s="150"/>
      <c r="F203" s="149" t="s">
        <v>31</v>
      </c>
      <c r="G203" s="150"/>
      <c r="H203" s="155"/>
      <c r="I203" s="158"/>
      <c r="J203" s="6">
        <v>288</v>
      </c>
    </row>
    <row r="204" spans="1:10">
      <c r="A204" s="32" t="str">
        <f t="shared" si="4"/>
        <v>DM13289</v>
      </c>
      <c r="B204" s="152"/>
      <c r="C204" s="152"/>
      <c r="D204" s="149" t="s">
        <v>11</v>
      </c>
      <c r="E204" s="150"/>
      <c r="F204" s="149" t="s">
        <v>12</v>
      </c>
      <c r="G204" s="150"/>
      <c r="H204" s="155"/>
      <c r="I204" s="158"/>
      <c r="J204" s="6">
        <v>289</v>
      </c>
    </row>
    <row r="205" spans="1:10">
      <c r="A205" s="32" t="str">
        <f t="shared" si="4"/>
        <v>DM13290</v>
      </c>
      <c r="B205" s="152"/>
      <c r="C205" s="152"/>
      <c r="D205" s="149" t="s">
        <v>13</v>
      </c>
      <c r="E205" s="150"/>
      <c r="F205" s="149" t="s">
        <v>14</v>
      </c>
      <c r="G205" s="150"/>
      <c r="H205" s="155"/>
      <c r="I205" s="158"/>
      <c r="J205" s="6">
        <v>290</v>
      </c>
    </row>
    <row r="206" spans="1:10">
      <c r="A206" s="32" t="str">
        <f t="shared" si="4"/>
        <v>DM13291</v>
      </c>
      <c r="B206" s="152"/>
      <c r="C206" s="152"/>
      <c r="D206" s="149" t="s">
        <v>16</v>
      </c>
      <c r="E206" s="150"/>
      <c r="F206" s="149" t="s">
        <v>17</v>
      </c>
      <c r="G206" s="150"/>
      <c r="H206" s="155"/>
      <c r="I206" s="158"/>
      <c r="J206" s="6">
        <v>291</v>
      </c>
    </row>
    <row r="207" spans="1:10">
      <c r="A207" s="32" t="str">
        <f t="shared" si="4"/>
        <v>DM13292</v>
      </c>
      <c r="B207" s="152"/>
      <c r="C207" s="152"/>
      <c r="D207" s="149" t="s">
        <v>18</v>
      </c>
      <c r="E207" s="150"/>
      <c r="F207" s="149" t="s">
        <v>19</v>
      </c>
      <c r="G207" s="150"/>
      <c r="H207" s="155"/>
      <c r="I207" s="158"/>
      <c r="J207" s="6">
        <v>292</v>
      </c>
    </row>
    <row r="208" spans="1:10">
      <c r="A208" s="32" t="str">
        <f t="shared" si="4"/>
        <v>DM13293</v>
      </c>
      <c r="B208" s="152"/>
      <c r="C208" s="152"/>
      <c r="D208" s="149" t="s">
        <v>20</v>
      </c>
      <c r="E208" s="150"/>
      <c r="F208" s="149" t="s">
        <v>21</v>
      </c>
      <c r="G208" s="150"/>
      <c r="H208" s="155"/>
      <c r="I208" s="158"/>
      <c r="J208" s="6">
        <v>293</v>
      </c>
    </row>
    <row r="209" spans="1:10">
      <c r="A209" s="32" t="str">
        <f t="shared" si="4"/>
        <v>DM13294</v>
      </c>
      <c r="B209" s="153"/>
      <c r="C209" s="153"/>
      <c r="D209" s="149" t="s">
        <v>22</v>
      </c>
      <c r="E209" s="150"/>
      <c r="F209" s="149" t="s">
        <v>23</v>
      </c>
      <c r="G209" s="150"/>
      <c r="H209" s="156"/>
      <c r="I209" s="159"/>
      <c r="J209" s="6">
        <v>294</v>
      </c>
    </row>
    <row r="210" spans="1:10">
      <c r="A210" s="32" t="str">
        <f t="shared" si="4"/>
        <v>DM13295</v>
      </c>
      <c r="B210" s="151" t="s">
        <v>145</v>
      </c>
      <c r="C210" s="151" t="s">
        <v>81</v>
      </c>
      <c r="D210" s="149" t="s">
        <v>25</v>
      </c>
      <c r="E210" s="150"/>
      <c r="F210" s="149" t="s">
        <v>65</v>
      </c>
      <c r="G210" s="150"/>
      <c r="H210" s="154" t="s">
        <v>146</v>
      </c>
      <c r="I210" s="157" t="s">
        <v>64</v>
      </c>
      <c r="J210" s="6">
        <v>295</v>
      </c>
    </row>
    <row r="211" spans="1:10">
      <c r="A211" s="32" t="str">
        <f t="shared" si="4"/>
        <v>DM13296</v>
      </c>
      <c r="B211" s="152"/>
      <c r="C211" s="152"/>
      <c r="D211" s="149" t="s">
        <v>26</v>
      </c>
      <c r="E211" s="150"/>
      <c r="F211" s="149" t="s">
        <v>27</v>
      </c>
      <c r="G211" s="150"/>
      <c r="H211" s="155"/>
      <c r="I211" s="158"/>
      <c r="J211" s="6">
        <v>296</v>
      </c>
    </row>
    <row r="212" spans="1:10">
      <c r="A212" s="32" t="str">
        <f t="shared" si="4"/>
        <v>DM13297</v>
      </c>
      <c r="B212" s="152"/>
      <c r="C212" s="152"/>
      <c r="D212" s="149" t="s">
        <v>28</v>
      </c>
      <c r="E212" s="150"/>
      <c r="F212" s="149" t="s">
        <v>29</v>
      </c>
      <c r="G212" s="150"/>
      <c r="H212" s="155"/>
      <c r="I212" s="158"/>
      <c r="J212" s="6">
        <v>297</v>
      </c>
    </row>
    <row r="213" spans="1:10">
      <c r="A213" s="32" t="str">
        <f t="shared" si="4"/>
        <v>DM13298</v>
      </c>
      <c r="B213" s="152"/>
      <c r="C213" s="152"/>
      <c r="D213" s="149" t="s">
        <v>30</v>
      </c>
      <c r="E213" s="150"/>
      <c r="F213" s="149" t="s">
        <v>31</v>
      </c>
      <c r="G213" s="150"/>
      <c r="H213" s="155"/>
      <c r="I213" s="158"/>
      <c r="J213" s="6">
        <v>298</v>
      </c>
    </row>
    <row r="214" spans="1:10">
      <c r="A214" s="32" t="str">
        <f t="shared" si="4"/>
        <v>DM13299</v>
      </c>
      <c r="B214" s="152"/>
      <c r="C214" s="152"/>
      <c r="D214" s="149" t="s">
        <v>11</v>
      </c>
      <c r="E214" s="150"/>
      <c r="F214" s="149" t="s">
        <v>12</v>
      </c>
      <c r="G214" s="150"/>
      <c r="H214" s="155"/>
      <c r="I214" s="158"/>
      <c r="J214" s="6">
        <v>299</v>
      </c>
    </row>
    <row r="215" spans="1:10">
      <c r="A215" s="32" t="str">
        <f t="shared" si="4"/>
        <v>DM13300</v>
      </c>
      <c r="B215" s="152"/>
      <c r="C215" s="152"/>
      <c r="D215" s="149" t="s">
        <v>13</v>
      </c>
      <c r="E215" s="150"/>
      <c r="F215" s="149" t="s">
        <v>14</v>
      </c>
      <c r="G215" s="150"/>
      <c r="H215" s="155"/>
      <c r="I215" s="158"/>
      <c r="J215" s="6">
        <v>300</v>
      </c>
    </row>
    <row r="216" spans="1:10">
      <c r="A216" s="32" t="str">
        <f t="shared" si="4"/>
        <v>DM13301</v>
      </c>
      <c r="B216" s="152"/>
      <c r="C216" s="152"/>
      <c r="D216" s="149" t="s">
        <v>16</v>
      </c>
      <c r="E216" s="150"/>
      <c r="F216" s="149" t="s">
        <v>17</v>
      </c>
      <c r="G216" s="150"/>
      <c r="H216" s="155"/>
      <c r="I216" s="158"/>
      <c r="J216" s="6">
        <v>301</v>
      </c>
    </row>
    <row r="217" spans="1:10">
      <c r="A217" s="32" t="str">
        <f t="shared" si="4"/>
        <v>DM13302</v>
      </c>
      <c r="B217" s="152"/>
      <c r="C217" s="152"/>
      <c r="D217" s="149" t="s">
        <v>18</v>
      </c>
      <c r="E217" s="150"/>
      <c r="F217" s="149" t="s">
        <v>19</v>
      </c>
      <c r="G217" s="150"/>
      <c r="H217" s="155"/>
      <c r="I217" s="158"/>
      <c r="J217" s="6">
        <v>302</v>
      </c>
    </row>
    <row r="218" spans="1:10">
      <c r="A218" s="32" t="str">
        <f t="shared" si="4"/>
        <v>DM13303</v>
      </c>
      <c r="B218" s="152"/>
      <c r="C218" s="152"/>
      <c r="D218" s="149" t="s">
        <v>20</v>
      </c>
      <c r="E218" s="150"/>
      <c r="F218" s="149" t="s">
        <v>21</v>
      </c>
      <c r="G218" s="150"/>
      <c r="H218" s="155"/>
      <c r="I218" s="158"/>
      <c r="J218" s="6">
        <v>303</v>
      </c>
    </row>
    <row r="219" spans="1:10">
      <c r="A219" s="32" t="str">
        <f t="shared" si="4"/>
        <v>DM13304</v>
      </c>
      <c r="B219" s="153"/>
      <c r="C219" s="153"/>
      <c r="D219" s="149" t="s">
        <v>22</v>
      </c>
      <c r="E219" s="150"/>
      <c r="F219" s="149" t="s">
        <v>23</v>
      </c>
      <c r="G219" s="150"/>
      <c r="H219" s="156"/>
      <c r="I219" s="159"/>
      <c r="J219" s="6">
        <v>304</v>
      </c>
    </row>
    <row r="220" spans="1:10">
      <c r="A220" s="32" t="str">
        <f t="shared" si="4"/>
        <v>DM13305</v>
      </c>
      <c r="B220" s="151" t="s">
        <v>147</v>
      </c>
      <c r="C220" s="151" t="s">
        <v>81</v>
      </c>
      <c r="D220" s="149" t="s">
        <v>25</v>
      </c>
      <c r="E220" s="150"/>
      <c r="F220" s="149" t="s">
        <v>65</v>
      </c>
      <c r="G220" s="150"/>
      <c r="H220" s="154" t="s">
        <v>148</v>
      </c>
      <c r="I220" s="157" t="s">
        <v>64</v>
      </c>
      <c r="J220" s="6">
        <v>305</v>
      </c>
    </row>
    <row r="221" spans="1:10">
      <c r="A221" s="32" t="str">
        <f t="shared" si="4"/>
        <v>DM13306</v>
      </c>
      <c r="B221" s="152"/>
      <c r="C221" s="152"/>
      <c r="D221" s="149" t="s">
        <v>26</v>
      </c>
      <c r="E221" s="150"/>
      <c r="F221" s="149" t="s">
        <v>27</v>
      </c>
      <c r="G221" s="150"/>
      <c r="H221" s="155"/>
      <c r="I221" s="158"/>
      <c r="J221" s="6">
        <v>306</v>
      </c>
    </row>
    <row r="222" spans="1:10">
      <c r="A222" s="32" t="str">
        <f t="shared" si="4"/>
        <v>DM13307</v>
      </c>
      <c r="B222" s="152"/>
      <c r="C222" s="152"/>
      <c r="D222" s="149" t="s">
        <v>28</v>
      </c>
      <c r="E222" s="150"/>
      <c r="F222" s="149" t="s">
        <v>29</v>
      </c>
      <c r="G222" s="150"/>
      <c r="H222" s="155"/>
      <c r="I222" s="158"/>
      <c r="J222" s="6">
        <v>307</v>
      </c>
    </row>
    <row r="223" spans="1:10">
      <c r="A223" s="32" t="str">
        <f t="shared" si="4"/>
        <v>DM13308</v>
      </c>
      <c r="B223" s="152"/>
      <c r="C223" s="152"/>
      <c r="D223" s="149" t="s">
        <v>30</v>
      </c>
      <c r="E223" s="150"/>
      <c r="F223" s="149" t="s">
        <v>31</v>
      </c>
      <c r="G223" s="150"/>
      <c r="H223" s="155"/>
      <c r="I223" s="158"/>
      <c r="J223" s="6">
        <v>308</v>
      </c>
    </row>
    <row r="224" spans="1:10">
      <c r="A224" s="32" t="str">
        <f t="shared" si="4"/>
        <v>DM13309</v>
      </c>
      <c r="B224" s="152"/>
      <c r="C224" s="152"/>
      <c r="D224" s="149" t="s">
        <v>11</v>
      </c>
      <c r="E224" s="150"/>
      <c r="F224" s="149" t="s">
        <v>12</v>
      </c>
      <c r="G224" s="150"/>
      <c r="H224" s="155"/>
      <c r="I224" s="158"/>
      <c r="J224" s="6">
        <v>309</v>
      </c>
    </row>
    <row r="225" spans="1:10">
      <c r="A225" s="32" t="str">
        <f t="shared" si="4"/>
        <v>DM13310</v>
      </c>
      <c r="B225" s="152"/>
      <c r="C225" s="152"/>
      <c r="D225" s="149" t="s">
        <v>13</v>
      </c>
      <c r="E225" s="150"/>
      <c r="F225" s="149" t="s">
        <v>14</v>
      </c>
      <c r="G225" s="150"/>
      <c r="H225" s="155"/>
      <c r="I225" s="158"/>
      <c r="J225" s="6">
        <v>310</v>
      </c>
    </row>
    <row r="226" spans="1:10">
      <c r="A226" s="32" t="str">
        <f t="shared" si="4"/>
        <v>DM13311</v>
      </c>
      <c r="B226" s="152"/>
      <c r="C226" s="152"/>
      <c r="D226" s="149" t="s">
        <v>16</v>
      </c>
      <c r="E226" s="150"/>
      <c r="F226" s="149" t="s">
        <v>17</v>
      </c>
      <c r="G226" s="150"/>
      <c r="H226" s="155"/>
      <c r="I226" s="158"/>
      <c r="J226" s="6">
        <v>311</v>
      </c>
    </row>
    <row r="227" spans="1:10">
      <c r="A227" s="32" t="str">
        <f t="shared" si="4"/>
        <v>DM13312</v>
      </c>
      <c r="B227" s="152"/>
      <c r="C227" s="152"/>
      <c r="D227" s="149" t="s">
        <v>18</v>
      </c>
      <c r="E227" s="150"/>
      <c r="F227" s="149" t="s">
        <v>19</v>
      </c>
      <c r="G227" s="150"/>
      <c r="H227" s="155"/>
      <c r="I227" s="158"/>
      <c r="J227" s="6">
        <v>312</v>
      </c>
    </row>
    <row r="228" spans="1:10">
      <c r="A228" s="32" t="str">
        <f t="shared" si="4"/>
        <v>DM13313</v>
      </c>
      <c r="B228" s="152"/>
      <c r="C228" s="152"/>
      <c r="D228" s="149" t="s">
        <v>20</v>
      </c>
      <c r="E228" s="150"/>
      <c r="F228" s="149" t="s">
        <v>21</v>
      </c>
      <c r="G228" s="150"/>
      <c r="H228" s="155"/>
      <c r="I228" s="158"/>
      <c r="J228" s="6">
        <v>313</v>
      </c>
    </row>
    <row r="229" spans="1:10">
      <c r="A229" s="32" t="str">
        <f t="shared" si="4"/>
        <v>DM13314</v>
      </c>
      <c r="B229" s="153"/>
      <c r="C229" s="153"/>
      <c r="D229" s="149" t="s">
        <v>22</v>
      </c>
      <c r="E229" s="150"/>
      <c r="F229" s="149" t="s">
        <v>23</v>
      </c>
      <c r="G229" s="150"/>
      <c r="H229" s="156"/>
      <c r="I229" s="159"/>
      <c r="J229" s="6">
        <v>314</v>
      </c>
    </row>
    <row r="230" spans="1:10">
      <c r="A230" s="32" t="str">
        <f t="shared" si="4"/>
        <v>DM13315</v>
      </c>
      <c r="B230" s="41" t="s">
        <v>0</v>
      </c>
      <c r="C230" s="82"/>
      <c r="D230" s="76"/>
      <c r="E230" s="74"/>
      <c r="F230" s="74"/>
      <c r="G230" s="77"/>
      <c r="H230" s="75"/>
      <c r="I230" s="93"/>
      <c r="J230" s="6">
        <v>315</v>
      </c>
    </row>
    <row r="231" spans="1:10">
      <c r="A231" s="32" t="str">
        <f t="shared" si="4"/>
        <v>DM13316</v>
      </c>
      <c r="B231" s="41" t="s">
        <v>0</v>
      </c>
      <c r="C231" s="82"/>
      <c r="D231" s="76"/>
      <c r="E231" s="74"/>
      <c r="F231" s="74"/>
      <c r="G231" s="77"/>
      <c r="H231" s="75"/>
      <c r="I231" s="93"/>
      <c r="J231" s="6">
        <v>316</v>
      </c>
    </row>
    <row r="232" spans="1:10">
      <c r="A232" s="32" t="str">
        <f t="shared" si="4"/>
        <v>DM13317</v>
      </c>
      <c r="B232" s="41" t="s">
        <v>0</v>
      </c>
      <c r="C232" s="82"/>
      <c r="D232" s="76"/>
      <c r="E232" s="74"/>
      <c r="F232" s="74"/>
      <c r="G232" s="77"/>
      <c r="H232" s="75"/>
      <c r="I232" s="93"/>
      <c r="J232" s="6">
        <v>317</v>
      </c>
    </row>
    <row r="233" spans="1:10">
      <c r="A233" s="32" t="str">
        <f t="shared" si="4"/>
        <v>DM13318</v>
      </c>
      <c r="B233" s="41" t="s">
        <v>0</v>
      </c>
      <c r="C233" s="82"/>
      <c r="D233" s="76"/>
      <c r="E233" s="74"/>
      <c r="F233" s="74"/>
      <c r="G233" s="77"/>
      <c r="H233" s="75"/>
      <c r="I233" s="93"/>
      <c r="J233" s="6">
        <v>318</v>
      </c>
    </row>
    <row r="234" spans="1:10">
      <c r="A234" s="32" t="str">
        <f t="shared" si="4"/>
        <v>DM13319</v>
      </c>
      <c r="B234" s="41" t="s">
        <v>0</v>
      </c>
      <c r="C234" s="82"/>
      <c r="D234" s="76"/>
      <c r="E234" s="74"/>
      <c r="F234" s="74"/>
      <c r="G234" s="77"/>
      <c r="H234" s="75"/>
      <c r="I234" s="93"/>
      <c r="J234" s="6">
        <v>319</v>
      </c>
    </row>
    <row r="235" spans="1:10">
      <c r="A235" s="32" t="str">
        <f t="shared" si="4"/>
        <v>DM13320</v>
      </c>
      <c r="B235" s="41" t="s">
        <v>0</v>
      </c>
      <c r="C235" s="82"/>
      <c r="D235" s="76"/>
      <c r="E235" s="74"/>
      <c r="F235" s="74"/>
      <c r="G235" s="77"/>
      <c r="H235" s="75"/>
      <c r="I235" s="93"/>
      <c r="J235" s="6">
        <v>320</v>
      </c>
    </row>
    <row r="236" spans="1:10">
      <c r="A236" s="32" t="str">
        <f t="shared" si="4"/>
        <v>DM13321</v>
      </c>
      <c r="B236" s="41" t="s">
        <v>0</v>
      </c>
      <c r="C236" s="82"/>
      <c r="D236" s="76"/>
      <c r="E236" s="74"/>
      <c r="F236" s="74"/>
      <c r="G236" s="77"/>
      <c r="H236" s="75"/>
      <c r="I236" s="93"/>
      <c r="J236" s="6">
        <v>321</v>
      </c>
    </row>
    <row r="237" spans="1:10">
      <c r="A237" s="32" t="str">
        <f t="shared" si="4"/>
        <v>DM13322</v>
      </c>
      <c r="B237" s="41" t="s">
        <v>0</v>
      </c>
      <c r="C237" s="82"/>
      <c r="D237" s="76"/>
      <c r="E237" s="74"/>
      <c r="F237" s="74"/>
      <c r="G237" s="77"/>
      <c r="H237" s="75"/>
      <c r="I237" s="93"/>
      <c r="J237" s="6">
        <v>322</v>
      </c>
    </row>
    <row r="238" spans="1:10">
      <c r="A238" s="32" t="str">
        <f t="shared" si="4"/>
        <v>DM13323</v>
      </c>
      <c r="B238" s="41" t="s">
        <v>0</v>
      </c>
      <c r="C238" s="82"/>
      <c r="D238" s="76"/>
      <c r="E238" s="74"/>
      <c r="F238" s="74"/>
      <c r="G238" s="77"/>
      <c r="H238" s="75"/>
      <c r="I238" s="93"/>
      <c r="J238" s="6">
        <v>323</v>
      </c>
    </row>
    <row r="239" spans="1:10">
      <c r="A239" s="32" t="str">
        <f t="shared" si="4"/>
        <v>DM13324</v>
      </c>
      <c r="B239" s="41" t="s">
        <v>0</v>
      </c>
      <c r="C239" s="82"/>
      <c r="D239" s="76"/>
      <c r="E239" s="74"/>
      <c r="F239" s="74"/>
      <c r="G239" s="77"/>
      <c r="H239" s="75"/>
      <c r="I239" s="93"/>
      <c r="J239" s="6">
        <v>324</v>
      </c>
    </row>
    <row r="240" spans="1:10">
      <c r="A240" s="32" t="str">
        <f t="shared" si="4"/>
        <v>DM13325</v>
      </c>
      <c r="B240" s="41" t="s">
        <v>0</v>
      </c>
      <c r="C240" s="82"/>
      <c r="D240" s="76"/>
      <c r="E240" s="74"/>
      <c r="F240" s="74"/>
      <c r="G240" s="77"/>
      <c r="H240" s="75"/>
      <c r="I240" s="93"/>
      <c r="J240" s="6">
        <v>325</v>
      </c>
    </row>
    <row r="241" spans="1:10">
      <c r="A241" s="32" t="str">
        <f t="shared" si="4"/>
        <v>DM13326</v>
      </c>
      <c r="B241" s="41" t="s">
        <v>0</v>
      </c>
      <c r="C241" s="82"/>
      <c r="D241" s="76"/>
      <c r="E241" s="74"/>
      <c r="F241" s="74"/>
      <c r="G241" s="77"/>
      <c r="H241" s="75"/>
      <c r="I241" s="93"/>
      <c r="J241" s="6">
        <v>326</v>
      </c>
    </row>
    <row r="242" spans="1:10">
      <c r="A242" s="32" t="str">
        <f t="shared" si="4"/>
        <v>DM13327</v>
      </c>
      <c r="B242" s="41" t="s">
        <v>0</v>
      </c>
      <c r="C242" s="82"/>
      <c r="D242" s="76"/>
      <c r="E242" s="74"/>
      <c r="F242" s="74"/>
      <c r="G242" s="77"/>
      <c r="H242" s="75"/>
      <c r="I242" s="93"/>
      <c r="J242" s="6">
        <v>327</v>
      </c>
    </row>
    <row r="243" spans="1:10">
      <c r="A243" s="32" t="str">
        <f t="shared" si="4"/>
        <v>DM13328</v>
      </c>
      <c r="B243" s="41" t="s">
        <v>0</v>
      </c>
      <c r="C243" s="82"/>
      <c r="D243" s="76"/>
      <c r="E243" s="74"/>
      <c r="F243" s="74"/>
      <c r="G243" s="77"/>
      <c r="H243" s="75"/>
      <c r="I243" s="93"/>
      <c r="J243" s="6">
        <v>328</v>
      </c>
    </row>
    <row r="244" spans="1:10">
      <c r="A244" s="32" t="str">
        <f t="shared" si="4"/>
        <v>DM13329</v>
      </c>
      <c r="B244" s="41" t="s">
        <v>0</v>
      </c>
      <c r="C244" s="82"/>
      <c r="D244" s="76"/>
      <c r="E244" s="74"/>
      <c r="F244" s="74"/>
      <c r="G244" s="77"/>
      <c r="H244" s="75"/>
      <c r="I244" s="93"/>
      <c r="J244" s="6">
        <v>329</v>
      </c>
    </row>
    <row r="245" spans="1:10">
      <c r="A245" s="32" t="str">
        <f t="shared" si="4"/>
        <v>DM13330</v>
      </c>
      <c r="B245" s="41" t="s">
        <v>0</v>
      </c>
      <c r="C245" s="82"/>
      <c r="D245" s="76"/>
      <c r="E245" s="74"/>
      <c r="F245" s="74"/>
      <c r="G245" s="77"/>
      <c r="H245" s="75"/>
      <c r="I245" s="93"/>
      <c r="J245" s="6">
        <v>330</v>
      </c>
    </row>
    <row r="246" spans="1:10">
      <c r="A246" s="32" t="str">
        <f t="shared" si="4"/>
        <v>DM13331</v>
      </c>
      <c r="B246" s="41" t="s">
        <v>0</v>
      </c>
      <c r="C246" s="82"/>
      <c r="D246" s="76"/>
      <c r="E246" s="74"/>
      <c r="F246" s="74"/>
      <c r="G246" s="77"/>
      <c r="H246" s="75"/>
      <c r="I246" s="93"/>
      <c r="J246" s="6">
        <v>331</v>
      </c>
    </row>
    <row r="247" spans="1:10">
      <c r="A247" s="32" t="str">
        <f t="shared" si="4"/>
        <v>DM13332</v>
      </c>
      <c r="B247" s="41" t="s">
        <v>0</v>
      </c>
      <c r="C247" s="82"/>
      <c r="D247" s="76"/>
      <c r="E247" s="74"/>
      <c r="F247" s="74"/>
      <c r="G247" s="77"/>
      <c r="H247" s="75"/>
      <c r="I247" s="93"/>
      <c r="J247" s="6">
        <v>332</v>
      </c>
    </row>
    <row r="248" spans="1:10">
      <c r="A248" s="32" t="str">
        <f t="shared" si="4"/>
        <v>DM13333</v>
      </c>
      <c r="B248" s="41" t="s">
        <v>0</v>
      </c>
      <c r="C248" s="82"/>
      <c r="D248" s="76"/>
      <c r="E248" s="74"/>
      <c r="F248" s="74"/>
      <c r="G248" s="77"/>
      <c r="H248" s="75"/>
      <c r="I248" s="93"/>
      <c r="J248" s="6">
        <v>333</v>
      </c>
    </row>
    <row r="249" spans="1:10">
      <c r="A249" s="32" t="str">
        <f t="shared" si="4"/>
        <v>DM13334</v>
      </c>
      <c r="B249" s="41" t="s">
        <v>0</v>
      </c>
      <c r="C249" s="82"/>
      <c r="D249" s="76"/>
      <c r="E249" s="74"/>
      <c r="F249" s="74"/>
      <c r="G249" s="77"/>
      <c r="H249" s="75"/>
      <c r="I249" s="93"/>
      <c r="J249" s="6">
        <v>334</v>
      </c>
    </row>
    <row r="250" spans="1:10">
      <c r="A250" s="32" t="str">
        <f t="shared" si="4"/>
        <v>DM13335</v>
      </c>
      <c r="B250" s="41" t="s">
        <v>0</v>
      </c>
      <c r="C250" s="82"/>
      <c r="D250" s="76"/>
      <c r="E250" s="74"/>
      <c r="F250" s="74"/>
      <c r="G250" s="77"/>
      <c r="H250" s="75"/>
      <c r="I250" s="93"/>
      <c r="J250" s="6">
        <v>335</v>
      </c>
    </row>
    <row r="251" spans="1:10">
      <c r="A251" s="32" t="str">
        <f t="shared" si="4"/>
        <v>DM13336</v>
      </c>
      <c r="B251" s="41" t="s">
        <v>0</v>
      </c>
      <c r="C251" s="82"/>
      <c r="D251" s="76"/>
      <c r="E251" s="74"/>
      <c r="F251" s="74"/>
      <c r="G251" s="77"/>
      <c r="H251" s="75"/>
      <c r="I251" s="93"/>
      <c r="J251" s="6">
        <v>336</v>
      </c>
    </row>
    <row r="252" spans="1:10">
      <c r="A252" s="32" t="str">
        <f t="shared" si="4"/>
        <v>DM13337</v>
      </c>
      <c r="B252" s="41" t="s">
        <v>0</v>
      </c>
      <c r="C252" s="82"/>
      <c r="D252" s="76"/>
      <c r="E252" s="74"/>
      <c r="F252" s="74"/>
      <c r="G252" s="77"/>
      <c r="H252" s="75"/>
      <c r="I252" s="93"/>
      <c r="J252" s="6">
        <v>337</v>
      </c>
    </row>
    <row r="253" spans="1:10">
      <c r="A253" s="32" t="str">
        <f t="shared" si="4"/>
        <v>DM13338</v>
      </c>
      <c r="B253" s="41" t="s">
        <v>0</v>
      </c>
      <c r="C253" s="82"/>
      <c r="D253" s="76"/>
      <c r="E253" s="74"/>
      <c r="F253" s="74"/>
      <c r="G253" s="77"/>
      <c r="H253" s="75"/>
      <c r="I253" s="93"/>
      <c r="J253" s="6">
        <v>338</v>
      </c>
    </row>
    <row r="254" spans="1:10">
      <c r="A254" s="32" t="str">
        <f t="shared" si="4"/>
        <v>DM13339</v>
      </c>
      <c r="B254" s="41" t="s">
        <v>0</v>
      </c>
      <c r="C254" s="82"/>
      <c r="D254" s="76"/>
      <c r="E254" s="74"/>
      <c r="F254" s="74"/>
      <c r="G254" s="77"/>
      <c r="H254" s="75"/>
      <c r="I254" s="93"/>
      <c r="J254" s="6">
        <v>339</v>
      </c>
    </row>
    <row r="255" spans="1:10">
      <c r="A255" s="32" t="str">
        <f t="shared" si="4"/>
        <v>DM13340</v>
      </c>
      <c r="B255" s="41" t="s">
        <v>0</v>
      </c>
      <c r="C255" s="82"/>
      <c r="D255" s="76"/>
      <c r="E255" s="74"/>
      <c r="F255" s="74"/>
      <c r="G255" s="77"/>
      <c r="H255" s="75"/>
      <c r="I255" s="93"/>
      <c r="J255" s="6">
        <v>340</v>
      </c>
    </row>
    <row r="256" spans="1:10">
      <c r="A256" s="32" t="str">
        <f t="shared" si="4"/>
        <v>DM13341</v>
      </c>
      <c r="B256" s="41" t="s">
        <v>0</v>
      </c>
      <c r="C256" s="82"/>
      <c r="D256" s="76"/>
      <c r="E256" s="74"/>
      <c r="F256" s="74"/>
      <c r="G256" s="77"/>
      <c r="H256" s="75"/>
      <c r="I256" s="93"/>
      <c r="J256" s="6">
        <v>341</v>
      </c>
    </row>
    <row r="257" spans="1:10">
      <c r="A257" s="32" t="str">
        <f t="shared" ref="A257:A264" si="5">LEFT($C$3, 2) &amp; (MID($C$3, 3, LEN($C$3)) + J257)</f>
        <v>DM13342</v>
      </c>
      <c r="B257" s="41" t="s">
        <v>0</v>
      </c>
      <c r="C257" s="82"/>
      <c r="D257" s="76"/>
      <c r="E257" s="74"/>
      <c r="F257" s="74"/>
      <c r="G257" s="77"/>
      <c r="H257" s="75"/>
      <c r="I257" s="93"/>
      <c r="J257" s="6">
        <v>342</v>
      </c>
    </row>
    <row r="258" spans="1:10">
      <c r="A258" s="32" t="str">
        <f t="shared" si="5"/>
        <v>DM13343</v>
      </c>
      <c r="B258" s="91" t="s">
        <v>114</v>
      </c>
      <c r="C258" s="99" t="s">
        <v>116</v>
      </c>
      <c r="D258" s="60">
        <v>0</v>
      </c>
      <c r="E258" s="61">
        <v>0</v>
      </c>
      <c r="F258" s="61">
        <v>0</v>
      </c>
      <c r="G258" s="111" t="s">
        <v>253</v>
      </c>
      <c r="H258" s="100" t="s">
        <v>159</v>
      </c>
      <c r="I258" s="101" t="s">
        <v>156</v>
      </c>
      <c r="J258" s="6">
        <v>343</v>
      </c>
    </row>
    <row r="259" spans="1:10" ht="15" customHeight="1">
      <c r="A259" s="32" t="str">
        <f t="shared" si="5"/>
        <v>DM13344</v>
      </c>
      <c r="B259" s="91" t="s">
        <v>191</v>
      </c>
      <c r="C259" s="99" t="s">
        <v>116</v>
      </c>
      <c r="D259" s="61">
        <v>0</v>
      </c>
      <c r="E259" s="61">
        <v>0</v>
      </c>
      <c r="F259" s="96" t="s">
        <v>195</v>
      </c>
      <c r="G259" s="96" t="s">
        <v>195</v>
      </c>
      <c r="H259" s="97" t="s">
        <v>196</v>
      </c>
      <c r="I259" s="98" t="s">
        <v>197</v>
      </c>
      <c r="J259" s="6">
        <v>344</v>
      </c>
    </row>
    <row r="260" spans="1:10" ht="15" customHeight="1">
      <c r="A260" s="32" t="str">
        <f t="shared" si="5"/>
        <v>DM13345</v>
      </c>
      <c r="B260" s="41" t="s">
        <v>0</v>
      </c>
      <c r="C260" s="82"/>
      <c r="D260" s="76"/>
      <c r="E260" s="74"/>
      <c r="F260" s="74"/>
      <c r="G260" s="77"/>
      <c r="H260" s="75"/>
      <c r="I260" s="93"/>
      <c r="J260" s="6">
        <v>345</v>
      </c>
    </row>
    <row r="261" spans="1:10" ht="15" customHeight="1">
      <c r="A261" s="32" t="str">
        <f t="shared" si="5"/>
        <v>DM13346</v>
      </c>
      <c r="B261" s="41" t="s">
        <v>0</v>
      </c>
      <c r="C261" s="82"/>
      <c r="D261" s="76"/>
      <c r="E261" s="74"/>
      <c r="F261" s="74"/>
      <c r="G261" s="77"/>
      <c r="H261" s="75"/>
      <c r="I261" s="93"/>
      <c r="J261" s="6">
        <v>346</v>
      </c>
    </row>
    <row r="262" spans="1:10" ht="15" customHeight="1">
      <c r="A262" s="32" t="str">
        <f t="shared" si="5"/>
        <v>DM13347</v>
      </c>
      <c r="B262" s="41" t="s">
        <v>0</v>
      </c>
      <c r="C262" s="82"/>
      <c r="D262" s="76"/>
      <c r="E262" s="74"/>
      <c r="F262" s="74"/>
      <c r="G262" s="77"/>
      <c r="H262" s="75"/>
      <c r="I262" s="93"/>
      <c r="J262" s="6">
        <v>347</v>
      </c>
    </row>
    <row r="263" spans="1:10" ht="15" customHeight="1">
      <c r="A263" s="32" t="str">
        <f t="shared" si="5"/>
        <v>DM13348</v>
      </c>
      <c r="B263" s="41" t="s">
        <v>0</v>
      </c>
      <c r="C263" s="82"/>
      <c r="D263" s="76"/>
      <c r="E263" s="74"/>
      <c r="F263" s="74"/>
      <c r="G263" s="77"/>
      <c r="H263" s="75"/>
      <c r="I263" s="93"/>
      <c r="J263" s="6">
        <v>348</v>
      </c>
    </row>
    <row r="264" spans="1:10" ht="15" customHeight="1" thickBot="1">
      <c r="A264" s="32" t="str">
        <f t="shared" si="5"/>
        <v>DM13349</v>
      </c>
      <c r="B264" s="41" t="s">
        <v>0</v>
      </c>
      <c r="C264" s="82"/>
      <c r="D264" s="76"/>
      <c r="E264" s="74"/>
      <c r="F264" s="74"/>
      <c r="G264" s="77"/>
      <c r="H264" s="75"/>
      <c r="I264" s="93"/>
      <c r="J264" s="6">
        <v>349</v>
      </c>
    </row>
    <row r="265" spans="1:10" ht="15.6" customHeight="1">
      <c r="A265" s="134" t="s">
        <v>153</v>
      </c>
      <c r="B265" s="135"/>
      <c r="C265" s="135"/>
      <c r="D265" s="135"/>
      <c r="E265" s="135"/>
      <c r="F265" s="135"/>
      <c r="G265" s="135"/>
      <c r="H265" s="135"/>
      <c r="I265" s="136"/>
    </row>
    <row r="266" spans="1:10" ht="15.6" customHeight="1">
      <c r="A266" s="32" t="str">
        <f t="shared" ref="A266:A295" si="6">LEFT($C$3, 2) &amp; (MID($C$3, 3, LEN($C$3)) + J266)</f>
        <v>DM13350</v>
      </c>
      <c r="B266" s="151" t="s">
        <v>59</v>
      </c>
      <c r="C266" s="151" t="s">
        <v>58</v>
      </c>
      <c r="D266" s="149" t="s">
        <v>25</v>
      </c>
      <c r="E266" s="150"/>
      <c r="F266" s="149" t="s">
        <v>65</v>
      </c>
      <c r="G266" s="150"/>
      <c r="H266" s="154" t="s">
        <v>60</v>
      </c>
      <c r="I266" s="157" t="s">
        <v>82</v>
      </c>
      <c r="J266" s="6">
        <v>350</v>
      </c>
    </row>
    <row r="267" spans="1:10" ht="15.6" customHeight="1">
      <c r="A267" s="32" t="str">
        <f t="shared" si="6"/>
        <v>DM13351</v>
      </c>
      <c r="B267" s="152"/>
      <c r="C267" s="152"/>
      <c r="D267" s="149" t="s">
        <v>26</v>
      </c>
      <c r="E267" s="150"/>
      <c r="F267" s="149" t="s">
        <v>27</v>
      </c>
      <c r="G267" s="150"/>
      <c r="H267" s="155"/>
      <c r="I267" s="158"/>
      <c r="J267" s="6">
        <v>351</v>
      </c>
    </row>
    <row r="268" spans="1:10" ht="15.75" customHeight="1">
      <c r="A268" s="32" t="str">
        <f t="shared" si="6"/>
        <v>DM13352</v>
      </c>
      <c r="B268" s="153"/>
      <c r="C268" s="152"/>
      <c r="D268" s="149" t="s">
        <v>28</v>
      </c>
      <c r="E268" s="150"/>
      <c r="F268" s="149" t="s">
        <v>29</v>
      </c>
      <c r="G268" s="150"/>
      <c r="H268" s="155"/>
      <c r="I268" s="158"/>
      <c r="J268" s="6">
        <v>352</v>
      </c>
    </row>
    <row r="269" spans="1:10" ht="15.75" customHeight="1">
      <c r="A269" s="32" t="str">
        <f t="shared" si="6"/>
        <v>DM13353</v>
      </c>
      <c r="B269" s="151" t="s">
        <v>61</v>
      </c>
      <c r="C269" s="151" t="s">
        <v>81</v>
      </c>
      <c r="D269" s="160" t="s">
        <v>67</v>
      </c>
      <c r="E269" s="161"/>
      <c r="F269" s="162" t="s">
        <v>66</v>
      </c>
      <c r="G269" s="163"/>
      <c r="H269" s="154" t="s">
        <v>62</v>
      </c>
      <c r="I269" s="157" t="s">
        <v>63</v>
      </c>
      <c r="J269" s="6">
        <v>353</v>
      </c>
    </row>
    <row r="270" spans="1:10" ht="16.5" customHeight="1">
      <c r="A270" s="32" t="str">
        <f t="shared" si="6"/>
        <v>DM13354</v>
      </c>
      <c r="B270" s="152"/>
      <c r="C270" s="152"/>
      <c r="D270" s="160" t="s">
        <v>69</v>
      </c>
      <c r="E270" s="161"/>
      <c r="F270" s="162" t="s">
        <v>68</v>
      </c>
      <c r="G270" s="163"/>
      <c r="H270" s="155"/>
      <c r="I270" s="158"/>
      <c r="J270" s="6">
        <v>354</v>
      </c>
    </row>
    <row r="271" spans="1:10" ht="16.5" customHeight="1">
      <c r="A271" s="32" t="str">
        <f t="shared" si="6"/>
        <v>DM13355</v>
      </c>
      <c r="B271" s="152"/>
      <c r="C271" s="152"/>
      <c r="D271" s="160" t="s">
        <v>71</v>
      </c>
      <c r="E271" s="161"/>
      <c r="F271" s="162" t="s">
        <v>70</v>
      </c>
      <c r="G271" s="163"/>
      <c r="H271" s="155"/>
      <c r="I271" s="158"/>
      <c r="J271" s="6">
        <v>355</v>
      </c>
    </row>
    <row r="272" spans="1:10" ht="16.5" customHeight="1">
      <c r="A272" s="32" t="str">
        <f t="shared" si="6"/>
        <v>DM13356</v>
      </c>
      <c r="B272" s="152"/>
      <c r="C272" s="152"/>
      <c r="D272" s="160" t="s">
        <v>73</v>
      </c>
      <c r="E272" s="161"/>
      <c r="F272" s="162" t="s">
        <v>72</v>
      </c>
      <c r="G272" s="163"/>
      <c r="H272" s="155"/>
      <c r="I272" s="158"/>
      <c r="J272" s="6">
        <v>356</v>
      </c>
    </row>
    <row r="273" spans="1:10" ht="16.149999999999999" customHeight="1">
      <c r="A273" s="32" t="str">
        <f t="shared" si="6"/>
        <v>DM13357</v>
      </c>
      <c r="B273" s="152"/>
      <c r="C273" s="152"/>
      <c r="D273" s="160" t="s">
        <v>77</v>
      </c>
      <c r="E273" s="161"/>
      <c r="F273" s="162" t="s">
        <v>74</v>
      </c>
      <c r="G273" s="163"/>
      <c r="H273" s="155"/>
      <c r="I273" s="158"/>
      <c r="J273" s="6">
        <v>357</v>
      </c>
    </row>
    <row r="274" spans="1:10" ht="15.6" customHeight="1">
      <c r="A274" s="32" t="str">
        <f t="shared" si="6"/>
        <v>DM13358</v>
      </c>
      <c r="B274" s="152"/>
      <c r="C274" s="152"/>
      <c r="D274" s="160" t="s">
        <v>78</v>
      </c>
      <c r="E274" s="161"/>
      <c r="F274" s="162" t="s">
        <v>75</v>
      </c>
      <c r="G274" s="163"/>
      <c r="H274" s="155"/>
      <c r="I274" s="158"/>
      <c r="J274" s="6">
        <v>358</v>
      </c>
    </row>
    <row r="275" spans="1:10" ht="15.6" customHeight="1">
      <c r="A275" s="32" t="str">
        <f t="shared" si="6"/>
        <v>DM13359</v>
      </c>
      <c r="B275" s="153"/>
      <c r="C275" s="153"/>
      <c r="D275" s="160" t="s">
        <v>79</v>
      </c>
      <c r="E275" s="161"/>
      <c r="F275" s="162" t="s">
        <v>76</v>
      </c>
      <c r="G275" s="163"/>
      <c r="H275" s="156"/>
      <c r="I275" s="159"/>
      <c r="J275" s="6">
        <v>359</v>
      </c>
    </row>
    <row r="276" spans="1:10" ht="15" customHeight="1">
      <c r="A276" s="32" t="str">
        <f t="shared" si="6"/>
        <v>DM13360</v>
      </c>
      <c r="B276" s="91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96" t="s">
        <v>115</v>
      </c>
      <c r="H276" s="97" t="s">
        <v>157</v>
      </c>
      <c r="I276" s="98" t="s">
        <v>156</v>
      </c>
      <c r="J276" s="6">
        <v>360</v>
      </c>
    </row>
    <row r="277" spans="1:10" ht="15.75" customHeight="1">
      <c r="A277" s="32" t="str">
        <f t="shared" si="6"/>
        <v>DM13361</v>
      </c>
      <c r="B277" s="91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96" t="s">
        <v>115</v>
      </c>
      <c r="H277" s="97" t="s">
        <v>158</v>
      </c>
      <c r="I277" s="98" t="s">
        <v>156</v>
      </c>
      <c r="J277" s="6">
        <v>361</v>
      </c>
    </row>
    <row r="278" spans="1:10" ht="15.75" customHeight="1">
      <c r="A278" s="32" t="str">
        <f t="shared" si="6"/>
        <v>DM13362</v>
      </c>
      <c r="B278" s="164" t="s">
        <v>160</v>
      </c>
      <c r="C278" s="164" t="s">
        <v>58</v>
      </c>
      <c r="D278" s="165" t="s">
        <v>25</v>
      </c>
      <c r="E278" s="165"/>
      <c r="F278" s="165" t="s">
        <v>65</v>
      </c>
      <c r="G278" s="165"/>
      <c r="H278" s="166" t="s">
        <v>161</v>
      </c>
      <c r="I278" s="167" t="s">
        <v>162</v>
      </c>
      <c r="J278" s="6">
        <v>362</v>
      </c>
    </row>
    <row r="279" spans="1:10" ht="16.5" customHeight="1">
      <c r="A279" s="32" t="str">
        <f t="shared" si="6"/>
        <v>DM13363</v>
      </c>
      <c r="B279" s="164"/>
      <c r="C279" s="164"/>
      <c r="D279" s="165" t="s">
        <v>26</v>
      </c>
      <c r="E279" s="165"/>
      <c r="F279" s="165" t="s">
        <v>27</v>
      </c>
      <c r="G279" s="165"/>
      <c r="H279" s="166"/>
      <c r="I279" s="167"/>
      <c r="J279" s="6">
        <v>363</v>
      </c>
    </row>
    <row r="280" spans="1:10" ht="16.5" customHeight="1">
      <c r="A280" s="32" t="str">
        <f t="shared" si="6"/>
        <v>DM13364</v>
      </c>
      <c r="B280" s="41" t="s">
        <v>0</v>
      </c>
      <c r="C280" s="82"/>
      <c r="D280" s="76"/>
      <c r="E280" s="74"/>
      <c r="F280" s="74"/>
      <c r="G280" s="77"/>
      <c r="H280" s="75"/>
      <c r="I280" s="93"/>
      <c r="J280" s="6">
        <v>364</v>
      </c>
    </row>
    <row r="281" spans="1:10" ht="16.5" customHeight="1">
      <c r="A281" s="32" t="str">
        <f t="shared" si="6"/>
        <v>DM13365</v>
      </c>
      <c r="B281" s="41" t="s">
        <v>0</v>
      </c>
      <c r="C281" s="82"/>
      <c r="D281" s="76"/>
      <c r="E281" s="74"/>
      <c r="F281" s="74"/>
      <c r="G281" s="77"/>
      <c r="H281" s="75"/>
      <c r="I281" s="93"/>
      <c r="J281" s="6">
        <v>365</v>
      </c>
    </row>
    <row r="282" spans="1:10" ht="16.5" customHeight="1">
      <c r="A282" s="32" t="str">
        <f t="shared" si="6"/>
        <v>DM13366</v>
      </c>
      <c r="B282" s="41" t="s">
        <v>0</v>
      </c>
      <c r="C282" s="82"/>
      <c r="D282" s="76"/>
      <c r="E282" s="74"/>
      <c r="F282" s="74"/>
      <c r="G282" s="77"/>
      <c r="H282" s="75"/>
      <c r="I282" s="93"/>
      <c r="J282" s="6">
        <v>366</v>
      </c>
    </row>
    <row r="283" spans="1:10" ht="16.5" customHeight="1">
      <c r="A283" s="32" t="str">
        <f t="shared" si="6"/>
        <v>DM13367</v>
      </c>
      <c r="B283" s="41" t="s">
        <v>0</v>
      </c>
      <c r="C283" s="82"/>
      <c r="D283" s="76"/>
      <c r="E283" s="74"/>
      <c r="F283" s="74"/>
      <c r="G283" s="77"/>
      <c r="H283" s="75"/>
      <c r="I283" s="93"/>
      <c r="J283" s="6">
        <v>367</v>
      </c>
    </row>
    <row r="284" spans="1:10" ht="16.5" customHeight="1">
      <c r="A284" s="32" t="str">
        <f t="shared" si="6"/>
        <v>DM13368</v>
      </c>
      <c r="B284" s="41" t="s">
        <v>0</v>
      </c>
      <c r="C284" s="82"/>
      <c r="D284" s="76"/>
      <c r="E284" s="74"/>
      <c r="F284" s="74"/>
      <c r="G284" s="77"/>
      <c r="H284" s="75"/>
      <c r="I284" s="93"/>
      <c r="J284" s="6">
        <v>368</v>
      </c>
    </row>
    <row r="285" spans="1:10">
      <c r="A285" s="32" t="str">
        <f t="shared" si="6"/>
        <v>DM13369</v>
      </c>
      <c r="B285" s="41" t="s">
        <v>0</v>
      </c>
      <c r="C285" s="82"/>
      <c r="D285" s="76"/>
      <c r="E285" s="74"/>
      <c r="F285" s="74"/>
      <c r="G285" s="77"/>
      <c r="H285" s="75"/>
      <c r="I285" s="93"/>
      <c r="J285" s="6">
        <v>369</v>
      </c>
    </row>
    <row r="286" spans="1:10">
      <c r="A286" s="32" t="str">
        <f t="shared" si="6"/>
        <v>DM13370</v>
      </c>
      <c r="B286" s="41" t="s">
        <v>0</v>
      </c>
      <c r="C286" s="82"/>
      <c r="D286" s="76"/>
      <c r="E286" s="74"/>
      <c r="F286" s="74"/>
      <c r="G286" s="77"/>
      <c r="H286" s="75"/>
      <c r="I286" s="93"/>
      <c r="J286" s="6">
        <v>370</v>
      </c>
    </row>
    <row r="287" spans="1:10">
      <c r="A287" s="32" t="str">
        <f t="shared" si="6"/>
        <v>DM13371</v>
      </c>
      <c r="B287" s="91" t="s">
        <v>114</v>
      </c>
      <c r="C287" s="99" t="s">
        <v>116</v>
      </c>
      <c r="D287" s="83">
        <v>0</v>
      </c>
      <c r="E287" s="83">
        <v>0</v>
      </c>
      <c r="F287" s="83">
        <v>0</v>
      </c>
      <c r="G287" s="111" t="s">
        <v>253</v>
      </c>
      <c r="H287" s="100" t="s">
        <v>159</v>
      </c>
      <c r="I287" s="101" t="s">
        <v>156</v>
      </c>
      <c r="J287" s="6">
        <v>371</v>
      </c>
    </row>
    <row r="288" spans="1:10" ht="15" customHeight="1">
      <c r="A288" s="32" t="str">
        <f t="shared" si="6"/>
        <v>DM13372</v>
      </c>
      <c r="B288" s="91" t="s">
        <v>191</v>
      </c>
      <c r="C288" s="99" t="s">
        <v>116</v>
      </c>
      <c r="D288" s="61">
        <v>0</v>
      </c>
      <c r="E288" s="61">
        <v>0</v>
      </c>
      <c r="F288" s="96" t="s">
        <v>195</v>
      </c>
      <c r="G288" s="96" t="s">
        <v>195</v>
      </c>
      <c r="H288" s="97" t="s">
        <v>196</v>
      </c>
      <c r="I288" s="98" t="s">
        <v>197</v>
      </c>
      <c r="J288" s="6">
        <v>372</v>
      </c>
    </row>
    <row r="289" spans="1:10" ht="15" customHeight="1">
      <c r="A289" s="32" t="str">
        <f t="shared" si="6"/>
        <v>DM13373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6"/>
        <v>DM13374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6"/>
        <v>DM13375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si="6"/>
        <v>DM13376</v>
      </c>
      <c r="B292" s="41" t="s">
        <v>0</v>
      </c>
      <c r="C292" s="82"/>
      <c r="D292" s="76"/>
      <c r="E292" s="74"/>
      <c r="F292" s="74"/>
      <c r="G292" s="77"/>
      <c r="H292" s="75"/>
      <c r="I292" s="93"/>
      <c r="J292" s="6">
        <v>376</v>
      </c>
    </row>
    <row r="293" spans="1:10">
      <c r="A293" s="32" t="str">
        <f t="shared" si="6"/>
        <v>DM13377</v>
      </c>
      <c r="B293" s="41" t="s">
        <v>0</v>
      </c>
      <c r="C293" s="82"/>
      <c r="D293" s="76"/>
      <c r="E293" s="74"/>
      <c r="F293" s="74"/>
      <c r="G293" s="77"/>
      <c r="H293" s="75"/>
      <c r="I293" s="93"/>
      <c r="J293" s="6">
        <v>377</v>
      </c>
    </row>
    <row r="294" spans="1:10">
      <c r="A294" s="32" t="str">
        <f t="shared" si="6"/>
        <v>DM13378</v>
      </c>
      <c r="B294" s="41" t="s">
        <v>0</v>
      </c>
      <c r="C294" s="82"/>
      <c r="D294" s="76"/>
      <c r="E294" s="74"/>
      <c r="F294" s="74"/>
      <c r="G294" s="77"/>
      <c r="H294" s="75"/>
      <c r="I294" s="93"/>
      <c r="J294" s="6">
        <v>378</v>
      </c>
    </row>
    <row r="295" spans="1:10" ht="15.75" thickBot="1">
      <c r="A295" s="32" t="str">
        <f t="shared" si="6"/>
        <v>DM13379</v>
      </c>
      <c r="B295" s="41" t="s">
        <v>0</v>
      </c>
      <c r="C295" s="82"/>
      <c r="D295" s="76"/>
      <c r="E295" s="74"/>
      <c r="F295" s="74"/>
      <c r="G295" s="77"/>
      <c r="H295" s="75"/>
      <c r="I295" s="93"/>
      <c r="J295" s="6">
        <v>379</v>
      </c>
    </row>
    <row r="296" spans="1:10" ht="15.6" customHeight="1">
      <c r="A296" s="134" t="s">
        <v>163</v>
      </c>
      <c r="B296" s="135"/>
      <c r="C296" s="135"/>
      <c r="D296" s="135"/>
      <c r="E296" s="135"/>
      <c r="F296" s="135"/>
      <c r="G296" s="135"/>
      <c r="H296" s="135"/>
      <c r="I296" s="136"/>
    </row>
    <row r="297" spans="1:10" ht="15" customHeight="1">
      <c r="A297" s="32" t="str">
        <f t="shared" ref="A297:A316" si="7">LEFT($C$3, 2) &amp; (MID($C$3, 3, LEN($C$3)) + J297)</f>
        <v>DM13380</v>
      </c>
      <c r="B297" s="151" t="s">
        <v>59</v>
      </c>
      <c r="C297" s="151" t="s">
        <v>58</v>
      </c>
      <c r="D297" s="149" t="s">
        <v>25</v>
      </c>
      <c r="E297" s="150"/>
      <c r="F297" s="149" t="s">
        <v>65</v>
      </c>
      <c r="G297" s="150"/>
      <c r="H297" s="154" t="s">
        <v>60</v>
      </c>
      <c r="I297" s="157" t="s">
        <v>82</v>
      </c>
      <c r="J297" s="6">
        <v>380</v>
      </c>
    </row>
    <row r="298" spans="1:10" ht="15" customHeight="1">
      <c r="A298" s="32" t="str">
        <f t="shared" si="7"/>
        <v>DM13381</v>
      </c>
      <c r="B298" s="152"/>
      <c r="C298" s="152"/>
      <c r="D298" s="149" t="s">
        <v>26</v>
      </c>
      <c r="E298" s="150"/>
      <c r="F298" s="149" t="s">
        <v>27</v>
      </c>
      <c r="G298" s="150"/>
      <c r="H298" s="155"/>
      <c r="I298" s="158"/>
      <c r="J298" s="6">
        <v>381</v>
      </c>
    </row>
    <row r="299" spans="1:10" ht="15" customHeight="1">
      <c r="A299" s="32" t="str">
        <f t="shared" si="7"/>
        <v>DM13382</v>
      </c>
      <c r="B299" s="153"/>
      <c r="C299" s="152"/>
      <c r="D299" s="149" t="s">
        <v>28</v>
      </c>
      <c r="E299" s="150"/>
      <c r="F299" s="149" t="s">
        <v>29</v>
      </c>
      <c r="G299" s="150"/>
      <c r="H299" s="155"/>
      <c r="I299" s="158"/>
      <c r="J299" s="6">
        <v>382</v>
      </c>
    </row>
    <row r="300" spans="1:10">
      <c r="A300" s="32" t="str">
        <f t="shared" si="7"/>
        <v>DM13383</v>
      </c>
      <c r="B300" s="151" t="s">
        <v>61</v>
      </c>
      <c r="C300" s="151" t="s">
        <v>81</v>
      </c>
      <c r="D300" s="160" t="s">
        <v>67</v>
      </c>
      <c r="E300" s="161"/>
      <c r="F300" s="162" t="s">
        <v>66</v>
      </c>
      <c r="G300" s="163"/>
      <c r="H300" s="154" t="s">
        <v>62</v>
      </c>
      <c r="I300" s="157" t="s">
        <v>63</v>
      </c>
      <c r="J300" s="6">
        <v>383</v>
      </c>
    </row>
    <row r="301" spans="1:10">
      <c r="A301" s="32" t="str">
        <f t="shared" si="7"/>
        <v>DM13384</v>
      </c>
      <c r="B301" s="152"/>
      <c r="C301" s="152"/>
      <c r="D301" s="160" t="s">
        <v>69</v>
      </c>
      <c r="E301" s="161"/>
      <c r="F301" s="162" t="s">
        <v>68</v>
      </c>
      <c r="G301" s="163"/>
      <c r="H301" s="155"/>
      <c r="I301" s="158"/>
      <c r="J301" s="6">
        <v>384</v>
      </c>
    </row>
    <row r="302" spans="1:10">
      <c r="A302" s="32" t="str">
        <f t="shared" si="7"/>
        <v>DM13385</v>
      </c>
      <c r="B302" s="152"/>
      <c r="C302" s="152"/>
      <c r="D302" s="160" t="s">
        <v>71</v>
      </c>
      <c r="E302" s="161"/>
      <c r="F302" s="162" t="s">
        <v>70</v>
      </c>
      <c r="G302" s="163"/>
      <c r="H302" s="155"/>
      <c r="I302" s="158"/>
      <c r="J302" s="6">
        <v>385</v>
      </c>
    </row>
    <row r="303" spans="1:10">
      <c r="A303" s="32" t="str">
        <f t="shared" si="7"/>
        <v>DM13386</v>
      </c>
      <c r="B303" s="152"/>
      <c r="C303" s="152"/>
      <c r="D303" s="160" t="s">
        <v>73</v>
      </c>
      <c r="E303" s="161"/>
      <c r="F303" s="162" t="s">
        <v>72</v>
      </c>
      <c r="G303" s="163"/>
      <c r="H303" s="155"/>
      <c r="I303" s="158"/>
      <c r="J303" s="6">
        <v>386</v>
      </c>
    </row>
    <row r="304" spans="1:10">
      <c r="A304" s="32" t="str">
        <f t="shared" si="7"/>
        <v>DM13387</v>
      </c>
      <c r="B304" s="152"/>
      <c r="C304" s="152"/>
      <c r="D304" s="160" t="s">
        <v>77</v>
      </c>
      <c r="E304" s="161"/>
      <c r="F304" s="162" t="s">
        <v>74</v>
      </c>
      <c r="G304" s="163"/>
      <c r="H304" s="155"/>
      <c r="I304" s="158"/>
      <c r="J304" s="6">
        <v>387</v>
      </c>
    </row>
    <row r="305" spans="1:10">
      <c r="A305" s="32" t="str">
        <f t="shared" si="7"/>
        <v>DM13388</v>
      </c>
      <c r="B305" s="152"/>
      <c r="C305" s="152"/>
      <c r="D305" s="160" t="s">
        <v>78</v>
      </c>
      <c r="E305" s="161"/>
      <c r="F305" s="162" t="s">
        <v>75</v>
      </c>
      <c r="G305" s="163"/>
      <c r="H305" s="155"/>
      <c r="I305" s="158"/>
      <c r="J305" s="6">
        <v>388</v>
      </c>
    </row>
    <row r="306" spans="1:10">
      <c r="A306" s="32" t="str">
        <f t="shared" si="7"/>
        <v>DM13389</v>
      </c>
      <c r="B306" s="153"/>
      <c r="C306" s="153"/>
      <c r="D306" s="160" t="s">
        <v>79</v>
      </c>
      <c r="E306" s="161"/>
      <c r="F306" s="162" t="s">
        <v>76</v>
      </c>
      <c r="G306" s="163"/>
      <c r="H306" s="156"/>
      <c r="I306" s="159"/>
      <c r="J306" s="6">
        <v>389</v>
      </c>
    </row>
    <row r="307" spans="1:10">
      <c r="A307" s="32" t="str">
        <f t="shared" si="7"/>
        <v>DM13390</v>
      </c>
      <c r="B307" s="101" t="s">
        <v>164</v>
      </c>
      <c r="C307" s="99" t="s">
        <v>81</v>
      </c>
      <c r="D307" s="83">
        <v>0</v>
      </c>
      <c r="E307" s="83">
        <v>0</v>
      </c>
      <c r="F307" s="83">
        <v>0</v>
      </c>
      <c r="G307" s="99" t="s">
        <v>54</v>
      </c>
      <c r="H307" s="101" t="s">
        <v>165</v>
      </c>
      <c r="I307" s="101" t="s">
        <v>166</v>
      </c>
      <c r="J307" s="6">
        <v>390</v>
      </c>
    </row>
    <row r="308" spans="1:10">
      <c r="A308" s="32" t="str">
        <f t="shared" si="7"/>
        <v>DM13391</v>
      </c>
      <c r="B308" s="101" t="s">
        <v>167</v>
      </c>
      <c r="C308" s="99" t="s">
        <v>81</v>
      </c>
      <c r="D308" s="83">
        <v>0</v>
      </c>
      <c r="E308" s="83">
        <v>0</v>
      </c>
      <c r="F308" s="83">
        <v>0</v>
      </c>
      <c r="G308" s="99" t="s">
        <v>54</v>
      </c>
      <c r="H308" s="101" t="s">
        <v>168</v>
      </c>
      <c r="I308" s="101" t="s">
        <v>166</v>
      </c>
      <c r="J308" s="6">
        <v>391</v>
      </c>
    </row>
    <row r="309" spans="1:10">
      <c r="A309" s="32" t="str">
        <f t="shared" si="7"/>
        <v>DM13392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7"/>
        <v>DM13393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7"/>
        <v>DM13394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si="7"/>
        <v>DM13395</v>
      </c>
      <c r="B312" s="91" t="s">
        <v>114</v>
      </c>
      <c r="C312" s="99" t="s">
        <v>116</v>
      </c>
      <c r="D312" s="83">
        <v>0</v>
      </c>
      <c r="E312" s="83">
        <v>0</v>
      </c>
      <c r="F312" s="83">
        <v>0</v>
      </c>
      <c r="G312" s="111" t="s">
        <v>253</v>
      </c>
      <c r="H312" s="100" t="s">
        <v>159</v>
      </c>
      <c r="I312" s="101" t="s">
        <v>156</v>
      </c>
      <c r="J312" s="6">
        <v>395</v>
      </c>
    </row>
    <row r="313" spans="1:10" ht="15" customHeight="1">
      <c r="A313" s="32" t="str">
        <f t="shared" si="7"/>
        <v>DM13396</v>
      </c>
      <c r="B313" s="91" t="s">
        <v>191</v>
      </c>
      <c r="C313" s="99" t="s">
        <v>116</v>
      </c>
      <c r="D313" s="61">
        <v>0</v>
      </c>
      <c r="E313" s="61">
        <v>0</v>
      </c>
      <c r="F313" s="96" t="s">
        <v>195</v>
      </c>
      <c r="G313" s="96" t="s">
        <v>195</v>
      </c>
      <c r="H313" s="97" t="s">
        <v>196</v>
      </c>
      <c r="I313" s="98" t="s">
        <v>197</v>
      </c>
      <c r="J313" s="6">
        <v>396</v>
      </c>
    </row>
    <row r="314" spans="1:10" ht="15" customHeight="1">
      <c r="A314" s="32" t="str">
        <f t="shared" si="7"/>
        <v>DM13397</v>
      </c>
      <c r="B314" s="102"/>
      <c r="C314" s="102"/>
      <c r="D314" s="105" t="s">
        <v>26</v>
      </c>
      <c r="E314" s="106"/>
      <c r="F314" s="105" t="s">
        <v>27</v>
      </c>
      <c r="G314" s="106"/>
      <c r="H314" s="104"/>
      <c r="I314" s="103"/>
      <c r="J314" s="6">
        <v>397</v>
      </c>
    </row>
    <row r="315" spans="1:10" ht="15" customHeight="1">
      <c r="A315" s="32" t="str">
        <f t="shared" si="7"/>
        <v>DM13398</v>
      </c>
      <c r="B315" s="102"/>
      <c r="C315" s="102"/>
      <c r="D315" s="105" t="s">
        <v>28</v>
      </c>
      <c r="E315" s="106"/>
      <c r="F315" s="105" t="s">
        <v>29</v>
      </c>
      <c r="G315" s="106"/>
      <c r="H315" s="104"/>
      <c r="I315" s="103"/>
      <c r="J315" s="6">
        <v>398</v>
      </c>
    </row>
    <row r="316" spans="1:10" ht="15" customHeight="1" thickBot="1">
      <c r="A316" s="32" t="str">
        <f t="shared" si="7"/>
        <v>DM13399</v>
      </c>
      <c r="B316" s="102"/>
      <c r="C316" s="102"/>
      <c r="D316" s="105" t="s">
        <v>30</v>
      </c>
      <c r="E316" s="106"/>
      <c r="F316" s="105" t="s">
        <v>31</v>
      </c>
      <c r="G316" s="106"/>
      <c r="H316" s="104"/>
      <c r="I316" s="103"/>
      <c r="J316" s="6">
        <v>399</v>
      </c>
    </row>
    <row r="317" spans="1:10" ht="15.6" customHeight="1">
      <c r="A317" s="134" t="s">
        <v>175</v>
      </c>
      <c r="B317" s="135"/>
      <c r="C317" s="135"/>
      <c r="D317" s="135"/>
      <c r="E317" s="135"/>
      <c r="F317" s="135"/>
      <c r="G317" s="135"/>
      <c r="H317" s="135"/>
      <c r="I317" s="136"/>
      <c r="J317" s="108"/>
    </row>
    <row r="318" spans="1:10" ht="15" customHeight="1">
      <c r="A318" s="32" t="str">
        <f t="shared" ref="A318:A357" si="8">LEFT($C$3, 2) &amp; (MID($C$3, 3, LEN($C$3)) + J318)</f>
        <v>DM13400</v>
      </c>
      <c r="B318" s="164" t="s">
        <v>59</v>
      </c>
      <c r="C318" s="164" t="s">
        <v>58</v>
      </c>
      <c r="D318" s="165" t="s">
        <v>25</v>
      </c>
      <c r="E318" s="165"/>
      <c r="F318" s="165" t="s">
        <v>65</v>
      </c>
      <c r="G318" s="165"/>
      <c r="H318" s="166" t="s">
        <v>60</v>
      </c>
      <c r="I318" s="167" t="s">
        <v>82</v>
      </c>
      <c r="J318" s="108">
        <v>400</v>
      </c>
    </row>
    <row r="319" spans="1:10" ht="15" customHeight="1">
      <c r="A319" s="32" t="str">
        <f t="shared" si="8"/>
        <v>DM13401</v>
      </c>
      <c r="B319" s="164"/>
      <c r="C319" s="164"/>
      <c r="D319" s="165" t="s">
        <v>26</v>
      </c>
      <c r="E319" s="165"/>
      <c r="F319" s="165" t="s">
        <v>27</v>
      </c>
      <c r="G319" s="165"/>
      <c r="H319" s="166"/>
      <c r="I319" s="167"/>
      <c r="J319" s="108">
        <v>401</v>
      </c>
    </row>
    <row r="320" spans="1:10" ht="15" customHeight="1">
      <c r="A320" s="32" t="str">
        <f t="shared" si="8"/>
        <v>DM13402</v>
      </c>
      <c r="B320" s="164"/>
      <c r="C320" s="164"/>
      <c r="D320" s="165" t="s">
        <v>28</v>
      </c>
      <c r="E320" s="165"/>
      <c r="F320" s="165" t="s">
        <v>29</v>
      </c>
      <c r="G320" s="165"/>
      <c r="H320" s="166"/>
      <c r="I320" s="167"/>
      <c r="J320" s="108">
        <v>402</v>
      </c>
    </row>
    <row r="321" spans="1:10">
      <c r="A321" s="32" t="str">
        <f t="shared" si="8"/>
        <v>DM13403</v>
      </c>
      <c r="B321" s="151" t="s">
        <v>61</v>
      </c>
      <c r="C321" s="151" t="s">
        <v>81</v>
      </c>
      <c r="D321" s="160" t="s">
        <v>67</v>
      </c>
      <c r="E321" s="161"/>
      <c r="F321" s="162" t="s">
        <v>66</v>
      </c>
      <c r="G321" s="163"/>
      <c r="H321" s="154" t="s">
        <v>62</v>
      </c>
      <c r="I321" s="157" t="s">
        <v>63</v>
      </c>
      <c r="J321" s="108">
        <v>403</v>
      </c>
    </row>
    <row r="322" spans="1:10">
      <c r="A322" s="32" t="str">
        <f t="shared" si="8"/>
        <v>DM13404</v>
      </c>
      <c r="B322" s="152"/>
      <c r="C322" s="152"/>
      <c r="D322" s="160" t="s">
        <v>69</v>
      </c>
      <c r="E322" s="161"/>
      <c r="F322" s="162" t="s">
        <v>68</v>
      </c>
      <c r="G322" s="163"/>
      <c r="H322" s="155"/>
      <c r="I322" s="158"/>
      <c r="J322" s="108">
        <v>404</v>
      </c>
    </row>
    <row r="323" spans="1:10">
      <c r="A323" s="32" t="str">
        <f t="shared" si="8"/>
        <v>DM13405</v>
      </c>
      <c r="B323" s="152"/>
      <c r="C323" s="152"/>
      <c r="D323" s="160" t="s">
        <v>71</v>
      </c>
      <c r="E323" s="161"/>
      <c r="F323" s="162" t="s">
        <v>70</v>
      </c>
      <c r="G323" s="163"/>
      <c r="H323" s="155"/>
      <c r="I323" s="158"/>
      <c r="J323" s="108">
        <v>405</v>
      </c>
    </row>
    <row r="324" spans="1:10">
      <c r="A324" s="32" t="str">
        <f t="shared" si="8"/>
        <v>DM13406</v>
      </c>
      <c r="B324" s="152"/>
      <c r="C324" s="152"/>
      <c r="D324" s="160" t="s">
        <v>73</v>
      </c>
      <c r="E324" s="161"/>
      <c r="F324" s="162" t="s">
        <v>72</v>
      </c>
      <c r="G324" s="163"/>
      <c r="H324" s="155"/>
      <c r="I324" s="158"/>
      <c r="J324" s="108">
        <v>406</v>
      </c>
    </row>
    <row r="325" spans="1:10">
      <c r="A325" s="32" t="str">
        <f t="shared" si="8"/>
        <v>DM13407</v>
      </c>
      <c r="B325" s="152"/>
      <c r="C325" s="152"/>
      <c r="D325" s="160" t="s">
        <v>77</v>
      </c>
      <c r="E325" s="161"/>
      <c r="F325" s="162" t="s">
        <v>74</v>
      </c>
      <c r="G325" s="163"/>
      <c r="H325" s="155"/>
      <c r="I325" s="158"/>
      <c r="J325" s="108">
        <v>407</v>
      </c>
    </row>
    <row r="326" spans="1:10">
      <c r="A326" s="32" t="str">
        <f t="shared" si="8"/>
        <v>DM13408</v>
      </c>
      <c r="B326" s="152"/>
      <c r="C326" s="152"/>
      <c r="D326" s="160" t="s">
        <v>78</v>
      </c>
      <c r="E326" s="161"/>
      <c r="F326" s="162" t="s">
        <v>75</v>
      </c>
      <c r="G326" s="163"/>
      <c r="H326" s="155"/>
      <c r="I326" s="158"/>
      <c r="J326" s="108">
        <v>408</v>
      </c>
    </row>
    <row r="327" spans="1:10">
      <c r="A327" s="32" t="str">
        <f t="shared" si="8"/>
        <v>DM13409</v>
      </c>
      <c r="B327" s="153"/>
      <c r="C327" s="153"/>
      <c r="D327" s="160" t="s">
        <v>79</v>
      </c>
      <c r="E327" s="161"/>
      <c r="F327" s="162" t="s">
        <v>76</v>
      </c>
      <c r="G327" s="163"/>
      <c r="H327" s="156"/>
      <c r="I327" s="159"/>
      <c r="J327" s="108">
        <v>409</v>
      </c>
    </row>
    <row r="328" spans="1:10">
      <c r="A328" s="32" t="str">
        <f t="shared" si="8"/>
        <v>DM13410</v>
      </c>
      <c r="B328" s="151" t="s">
        <v>121</v>
      </c>
      <c r="C328" s="151" t="s">
        <v>58</v>
      </c>
      <c r="D328" s="149" t="s">
        <v>25</v>
      </c>
      <c r="E328" s="150"/>
      <c r="F328" s="149" t="s">
        <v>65</v>
      </c>
      <c r="G328" s="150"/>
      <c r="H328" s="154" t="s">
        <v>1</v>
      </c>
      <c r="I328" s="157" t="s">
        <v>64</v>
      </c>
      <c r="J328" s="108">
        <v>410</v>
      </c>
    </row>
    <row r="329" spans="1:10">
      <c r="A329" s="32" t="str">
        <f t="shared" si="8"/>
        <v>DM13411</v>
      </c>
      <c r="B329" s="152"/>
      <c r="C329" s="152"/>
      <c r="D329" s="149" t="s">
        <v>26</v>
      </c>
      <c r="E329" s="150"/>
      <c r="F329" s="149" t="s">
        <v>27</v>
      </c>
      <c r="G329" s="150"/>
      <c r="H329" s="155"/>
      <c r="I329" s="158"/>
      <c r="J329" s="108">
        <v>411</v>
      </c>
    </row>
    <row r="330" spans="1:10">
      <c r="A330" s="32" t="str">
        <f t="shared" si="8"/>
        <v>DM13412</v>
      </c>
      <c r="B330" s="152"/>
      <c r="C330" s="152"/>
      <c r="D330" s="149" t="s">
        <v>28</v>
      </c>
      <c r="E330" s="150"/>
      <c r="F330" s="149" t="s">
        <v>29</v>
      </c>
      <c r="G330" s="150"/>
      <c r="H330" s="155"/>
      <c r="I330" s="158"/>
      <c r="J330" s="108">
        <v>412</v>
      </c>
    </row>
    <row r="331" spans="1:10">
      <c r="A331" s="32" t="str">
        <f t="shared" si="8"/>
        <v>DM13413</v>
      </c>
      <c r="B331" s="152"/>
      <c r="C331" s="152"/>
      <c r="D331" s="149" t="s">
        <v>30</v>
      </c>
      <c r="E331" s="150"/>
      <c r="F331" s="149" t="s">
        <v>31</v>
      </c>
      <c r="G331" s="150"/>
      <c r="H331" s="155"/>
      <c r="I331" s="158"/>
      <c r="J331" s="108">
        <v>413</v>
      </c>
    </row>
    <row r="332" spans="1:10">
      <c r="A332" s="32" t="str">
        <f t="shared" si="8"/>
        <v>DM13414</v>
      </c>
      <c r="B332" s="152"/>
      <c r="C332" s="152"/>
      <c r="D332" s="149" t="s">
        <v>11</v>
      </c>
      <c r="E332" s="150"/>
      <c r="F332" s="149" t="s">
        <v>12</v>
      </c>
      <c r="G332" s="150"/>
      <c r="H332" s="155"/>
      <c r="I332" s="158"/>
      <c r="J332" s="108">
        <v>414</v>
      </c>
    </row>
    <row r="333" spans="1:10">
      <c r="A333" s="32" t="str">
        <f t="shared" si="8"/>
        <v>DM13415</v>
      </c>
      <c r="B333" s="152"/>
      <c r="C333" s="152"/>
      <c r="D333" s="149" t="s">
        <v>13</v>
      </c>
      <c r="E333" s="150"/>
      <c r="F333" s="149" t="s">
        <v>14</v>
      </c>
      <c r="G333" s="150"/>
      <c r="H333" s="155"/>
      <c r="I333" s="158"/>
      <c r="J333" s="108">
        <v>415</v>
      </c>
    </row>
    <row r="334" spans="1:10">
      <c r="A334" s="32" t="str">
        <f t="shared" si="8"/>
        <v>DM13416</v>
      </c>
      <c r="B334" s="152"/>
      <c r="C334" s="152"/>
      <c r="D334" s="149" t="s">
        <v>16</v>
      </c>
      <c r="E334" s="150"/>
      <c r="F334" s="149" t="s">
        <v>17</v>
      </c>
      <c r="G334" s="150"/>
      <c r="H334" s="155"/>
      <c r="I334" s="158"/>
      <c r="J334" s="108">
        <v>416</v>
      </c>
    </row>
    <row r="335" spans="1:10">
      <c r="A335" s="32" t="str">
        <f t="shared" si="8"/>
        <v>DM13417</v>
      </c>
      <c r="B335" s="152"/>
      <c r="C335" s="152"/>
      <c r="D335" s="149" t="s">
        <v>18</v>
      </c>
      <c r="E335" s="150"/>
      <c r="F335" s="149" t="s">
        <v>19</v>
      </c>
      <c r="G335" s="150"/>
      <c r="H335" s="155"/>
      <c r="I335" s="158"/>
      <c r="J335" s="108">
        <v>417</v>
      </c>
    </row>
    <row r="336" spans="1:10">
      <c r="A336" s="32" t="str">
        <f t="shared" si="8"/>
        <v>DM13418</v>
      </c>
      <c r="B336" s="152"/>
      <c r="C336" s="152"/>
      <c r="D336" s="149" t="s">
        <v>20</v>
      </c>
      <c r="E336" s="150"/>
      <c r="F336" s="149" t="s">
        <v>21</v>
      </c>
      <c r="G336" s="150"/>
      <c r="H336" s="155"/>
      <c r="I336" s="158"/>
      <c r="J336" s="108">
        <v>418</v>
      </c>
    </row>
    <row r="337" spans="1:10">
      <c r="A337" s="32" t="str">
        <f t="shared" si="8"/>
        <v>DM13419</v>
      </c>
      <c r="B337" s="153"/>
      <c r="C337" s="153"/>
      <c r="D337" s="149" t="s">
        <v>22</v>
      </c>
      <c r="E337" s="150"/>
      <c r="F337" s="149" t="s">
        <v>23</v>
      </c>
      <c r="G337" s="150"/>
      <c r="H337" s="156"/>
      <c r="I337" s="159"/>
      <c r="J337" s="108">
        <v>419</v>
      </c>
    </row>
    <row r="338" spans="1:10">
      <c r="A338" s="32" t="str">
        <f t="shared" si="8"/>
        <v>DM13420</v>
      </c>
      <c r="B338" s="151" t="s">
        <v>170</v>
      </c>
      <c r="C338" s="151" t="s">
        <v>81</v>
      </c>
      <c r="D338" s="149" t="s">
        <v>25</v>
      </c>
      <c r="E338" s="150"/>
      <c r="F338" s="149" t="s">
        <v>65</v>
      </c>
      <c r="G338" s="150"/>
      <c r="H338" s="154" t="s">
        <v>171</v>
      </c>
      <c r="I338" s="157" t="s">
        <v>64</v>
      </c>
      <c r="J338" s="108">
        <v>420</v>
      </c>
    </row>
    <row r="339" spans="1:10">
      <c r="A339" s="32" t="str">
        <f t="shared" si="8"/>
        <v>DM13421</v>
      </c>
      <c r="B339" s="152"/>
      <c r="C339" s="152"/>
      <c r="D339" s="149" t="s">
        <v>26</v>
      </c>
      <c r="E339" s="150"/>
      <c r="F339" s="149" t="s">
        <v>27</v>
      </c>
      <c r="G339" s="150"/>
      <c r="H339" s="155"/>
      <c r="I339" s="158"/>
      <c r="J339" s="108">
        <v>421</v>
      </c>
    </row>
    <row r="340" spans="1:10">
      <c r="A340" s="32" t="str">
        <f t="shared" si="8"/>
        <v>DM13422</v>
      </c>
      <c r="B340" s="152"/>
      <c r="C340" s="152"/>
      <c r="D340" s="149" t="s">
        <v>28</v>
      </c>
      <c r="E340" s="150"/>
      <c r="F340" s="149" t="s">
        <v>29</v>
      </c>
      <c r="G340" s="150"/>
      <c r="H340" s="155"/>
      <c r="I340" s="158"/>
      <c r="J340" s="108">
        <v>422</v>
      </c>
    </row>
    <row r="341" spans="1:10">
      <c r="A341" s="32" t="str">
        <f t="shared" si="8"/>
        <v>DM13423</v>
      </c>
      <c r="B341" s="152"/>
      <c r="C341" s="152"/>
      <c r="D341" s="149" t="s">
        <v>30</v>
      </c>
      <c r="E341" s="150"/>
      <c r="F341" s="149" t="s">
        <v>31</v>
      </c>
      <c r="G341" s="150"/>
      <c r="H341" s="155"/>
      <c r="I341" s="158"/>
      <c r="J341" s="108">
        <v>423</v>
      </c>
    </row>
    <row r="342" spans="1:10">
      <c r="A342" s="32" t="str">
        <f t="shared" si="8"/>
        <v>DM13424</v>
      </c>
      <c r="B342" s="152"/>
      <c r="C342" s="152"/>
      <c r="D342" s="149" t="s">
        <v>11</v>
      </c>
      <c r="E342" s="150"/>
      <c r="F342" s="149" t="s">
        <v>12</v>
      </c>
      <c r="G342" s="150"/>
      <c r="H342" s="155"/>
      <c r="I342" s="158"/>
      <c r="J342" s="108">
        <v>424</v>
      </c>
    </row>
    <row r="343" spans="1:10">
      <c r="A343" s="32" t="str">
        <f t="shared" si="8"/>
        <v>DM13425</v>
      </c>
      <c r="B343" s="152"/>
      <c r="C343" s="152"/>
      <c r="D343" s="149" t="s">
        <v>13</v>
      </c>
      <c r="E343" s="150"/>
      <c r="F343" s="149" t="s">
        <v>14</v>
      </c>
      <c r="G343" s="150"/>
      <c r="H343" s="155"/>
      <c r="I343" s="158"/>
      <c r="J343" s="108">
        <v>425</v>
      </c>
    </row>
    <row r="344" spans="1:10">
      <c r="A344" s="32" t="str">
        <f t="shared" si="8"/>
        <v>DM13426</v>
      </c>
      <c r="B344" s="152"/>
      <c r="C344" s="152"/>
      <c r="D344" s="149" t="s">
        <v>16</v>
      </c>
      <c r="E344" s="150"/>
      <c r="F344" s="149" t="s">
        <v>17</v>
      </c>
      <c r="G344" s="150"/>
      <c r="H344" s="155"/>
      <c r="I344" s="158"/>
      <c r="J344" s="108">
        <v>426</v>
      </c>
    </row>
    <row r="345" spans="1:10">
      <c r="A345" s="32" t="str">
        <f t="shared" si="8"/>
        <v>DM13427</v>
      </c>
      <c r="B345" s="152"/>
      <c r="C345" s="152"/>
      <c r="D345" s="149" t="s">
        <v>18</v>
      </c>
      <c r="E345" s="150"/>
      <c r="F345" s="149" t="s">
        <v>19</v>
      </c>
      <c r="G345" s="150"/>
      <c r="H345" s="155"/>
      <c r="I345" s="158"/>
      <c r="J345" s="108">
        <v>427</v>
      </c>
    </row>
    <row r="346" spans="1:10">
      <c r="A346" s="32" t="str">
        <f t="shared" si="8"/>
        <v>DM13428</v>
      </c>
      <c r="B346" s="152"/>
      <c r="C346" s="152"/>
      <c r="D346" s="149" t="s">
        <v>20</v>
      </c>
      <c r="E346" s="150"/>
      <c r="F346" s="149" t="s">
        <v>21</v>
      </c>
      <c r="G346" s="150"/>
      <c r="H346" s="155"/>
      <c r="I346" s="158"/>
      <c r="J346" s="108">
        <v>428</v>
      </c>
    </row>
    <row r="347" spans="1:10">
      <c r="A347" s="32" t="str">
        <f t="shared" si="8"/>
        <v>DM13429</v>
      </c>
      <c r="B347" s="153"/>
      <c r="C347" s="153"/>
      <c r="D347" s="149" t="s">
        <v>22</v>
      </c>
      <c r="E347" s="150"/>
      <c r="F347" s="149" t="s">
        <v>23</v>
      </c>
      <c r="G347" s="150"/>
      <c r="H347" s="156"/>
      <c r="I347" s="159"/>
      <c r="J347" s="108">
        <v>429</v>
      </c>
    </row>
    <row r="348" spans="1:10" ht="30">
      <c r="A348" s="32" t="str">
        <f t="shared" si="8"/>
        <v>DM13430</v>
      </c>
      <c r="B348" s="101" t="s">
        <v>172</v>
      </c>
      <c r="C348" s="99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101" t="s">
        <v>174</v>
      </c>
      <c r="I348" s="101" t="s">
        <v>173</v>
      </c>
      <c r="J348" s="108">
        <v>430</v>
      </c>
    </row>
    <row r="349" spans="1:10">
      <c r="A349" s="32" t="str">
        <f t="shared" si="8"/>
        <v>DM13431</v>
      </c>
      <c r="B349" s="91" t="s">
        <v>150</v>
      </c>
      <c r="C349" s="99" t="s">
        <v>81</v>
      </c>
      <c r="D349" s="83">
        <v>0</v>
      </c>
      <c r="E349" s="83">
        <v>0</v>
      </c>
      <c r="F349" s="83">
        <v>0</v>
      </c>
      <c r="G349" s="111" t="s">
        <v>253</v>
      </c>
      <c r="H349" s="100" t="s">
        <v>159</v>
      </c>
      <c r="I349" s="101" t="s">
        <v>156</v>
      </c>
      <c r="J349" s="108">
        <v>431</v>
      </c>
    </row>
    <row r="350" spans="1:10">
      <c r="A350" s="32" t="str">
        <f t="shared" si="8"/>
        <v>DM13432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8"/>
        <v>DM13433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8"/>
        <v>DM13434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8"/>
        <v>DM13435</v>
      </c>
      <c r="B353" s="91" t="s">
        <v>114</v>
      </c>
      <c r="C353" s="99" t="s">
        <v>116</v>
      </c>
      <c r="D353" s="83">
        <v>0</v>
      </c>
      <c r="E353" s="83">
        <v>0</v>
      </c>
      <c r="F353" s="83">
        <v>0</v>
      </c>
      <c r="G353" s="111" t="s">
        <v>253</v>
      </c>
      <c r="H353" s="100" t="s">
        <v>159</v>
      </c>
      <c r="I353" s="101" t="s">
        <v>156</v>
      </c>
      <c r="J353" s="108">
        <v>435</v>
      </c>
    </row>
    <row r="354" spans="1:10" ht="15" customHeight="1">
      <c r="A354" s="32" t="str">
        <f t="shared" si="8"/>
        <v>DM13436</v>
      </c>
      <c r="B354" s="99" t="s">
        <v>191</v>
      </c>
      <c r="C354" s="99" t="s">
        <v>116</v>
      </c>
      <c r="D354" s="61">
        <v>0</v>
      </c>
      <c r="E354" s="61">
        <v>0</v>
      </c>
      <c r="F354" s="96" t="s">
        <v>195</v>
      </c>
      <c r="G354" s="96" t="s">
        <v>195</v>
      </c>
      <c r="H354" s="100" t="s">
        <v>196</v>
      </c>
      <c r="I354" s="101" t="s">
        <v>197</v>
      </c>
      <c r="J354" s="108">
        <v>436</v>
      </c>
    </row>
    <row r="355" spans="1:10" ht="15" customHeight="1">
      <c r="A355" s="32" t="str">
        <f t="shared" si="8"/>
        <v>DM13437</v>
      </c>
      <c r="B355" s="35" t="s">
        <v>0</v>
      </c>
      <c r="C355" s="64"/>
      <c r="D355" s="47"/>
      <c r="E355" s="48"/>
      <c r="F355" s="48"/>
      <c r="G355" s="49"/>
      <c r="H355" s="34"/>
      <c r="I355" s="35"/>
      <c r="J355" s="108">
        <v>437</v>
      </c>
    </row>
    <row r="356" spans="1:10" ht="15" customHeight="1">
      <c r="A356" s="32" t="str">
        <f t="shared" si="8"/>
        <v>DM13438</v>
      </c>
      <c r="B356" s="35" t="s">
        <v>0</v>
      </c>
      <c r="C356" s="64"/>
      <c r="D356" s="47"/>
      <c r="E356" s="48"/>
      <c r="F356" s="48"/>
      <c r="G356" s="49"/>
      <c r="H356" s="34"/>
      <c r="I356" s="35"/>
      <c r="J356" s="108">
        <v>438</v>
      </c>
    </row>
    <row r="357" spans="1:10" ht="15" customHeight="1">
      <c r="A357" s="32" t="str">
        <f t="shared" si="8"/>
        <v>DM13439</v>
      </c>
      <c r="B357" s="35" t="s">
        <v>0</v>
      </c>
      <c r="C357" s="34"/>
      <c r="D357" s="94"/>
      <c r="E357" s="95"/>
      <c r="F357" s="95"/>
      <c r="G357" s="109"/>
      <c r="H357" s="34"/>
      <c r="I357" s="35"/>
      <c r="J357" s="108">
        <v>439</v>
      </c>
    </row>
  </sheetData>
  <mergeCells count="639">
    <mergeCell ref="B338:B347"/>
    <mergeCell ref="C338:C347"/>
    <mergeCell ref="D338:E338"/>
    <mergeCell ref="F338:G338"/>
    <mergeCell ref="D343:E343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7:E347"/>
    <mergeCell ref="F347:G347"/>
    <mergeCell ref="F343:G343"/>
    <mergeCell ref="D344:E344"/>
    <mergeCell ref="F344:G344"/>
    <mergeCell ref="D345:E345"/>
    <mergeCell ref="F345:G345"/>
    <mergeCell ref="D346:E346"/>
    <mergeCell ref="F346:G346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5:G335"/>
    <mergeCell ref="D336:E336"/>
    <mergeCell ref="F336:G336"/>
    <mergeCell ref="D337:E337"/>
    <mergeCell ref="F337:G337"/>
    <mergeCell ref="D324:E324"/>
    <mergeCell ref="F324:G324"/>
    <mergeCell ref="D325:E325"/>
    <mergeCell ref="F325:G325"/>
    <mergeCell ref="F327:G327"/>
    <mergeCell ref="H321:H327"/>
    <mergeCell ref="B328:B337"/>
    <mergeCell ref="C328:C337"/>
    <mergeCell ref="D328:E328"/>
    <mergeCell ref="F328:G328"/>
    <mergeCell ref="H328:H337"/>
    <mergeCell ref="F333:G333"/>
    <mergeCell ref="D334:E334"/>
    <mergeCell ref="F334:G334"/>
    <mergeCell ref="D335:E335"/>
    <mergeCell ref="B321:B327"/>
    <mergeCell ref="C321:C327"/>
    <mergeCell ref="D321:E321"/>
    <mergeCell ref="F321:G321"/>
    <mergeCell ref="D326:E326"/>
    <mergeCell ref="F326:G326"/>
    <mergeCell ref="D327:E327"/>
    <mergeCell ref="B300:B306"/>
    <mergeCell ref="C300:C306"/>
    <mergeCell ref="D300:E300"/>
    <mergeCell ref="F300:G300"/>
    <mergeCell ref="D305:E305"/>
    <mergeCell ref="F305:G305"/>
    <mergeCell ref="A317:I317"/>
    <mergeCell ref="B318:B320"/>
    <mergeCell ref="C318:C320"/>
    <mergeCell ref="D318:E318"/>
    <mergeCell ref="F318:G318"/>
    <mergeCell ref="H318:H320"/>
    <mergeCell ref="I321:I327"/>
    <mergeCell ref="D322:E322"/>
    <mergeCell ref="F322:G322"/>
    <mergeCell ref="D323:E323"/>
    <mergeCell ref="F323:G323"/>
    <mergeCell ref="I318:I320"/>
    <mergeCell ref="D319:E319"/>
    <mergeCell ref="D306:E306"/>
    <mergeCell ref="F306:G306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F319:G319"/>
    <mergeCell ref="D320:E320"/>
    <mergeCell ref="F320:G320"/>
    <mergeCell ref="A296:I296"/>
    <mergeCell ref="B297:B299"/>
    <mergeCell ref="C297:C299"/>
    <mergeCell ref="D297:E297"/>
    <mergeCell ref="F297:G297"/>
    <mergeCell ref="H297:H299"/>
    <mergeCell ref="I297:I299"/>
    <mergeCell ref="D298:E298"/>
    <mergeCell ref="F298:G298"/>
    <mergeCell ref="D299:E299"/>
    <mergeCell ref="F299:G299"/>
    <mergeCell ref="H278:H279"/>
    <mergeCell ref="H269:H275"/>
    <mergeCell ref="I269:I275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I278:I279"/>
    <mergeCell ref="D279:E279"/>
    <mergeCell ref="F279:G279"/>
    <mergeCell ref="B269:B275"/>
    <mergeCell ref="C269:C275"/>
    <mergeCell ref="D269:E269"/>
    <mergeCell ref="F269:G269"/>
    <mergeCell ref="D274:E274"/>
    <mergeCell ref="F274:G274"/>
    <mergeCell ref="D275:E275"/>
    <mergeCell ref="F275:G275"/>
    <mergeCell ref="B278:B279"/>
    <mergeCell ref="C278:C279"/>
    <mergeCell ref="D278:E278"/>
    <mergeCell ref="F278:G278"/>
    <mergeCell ref="D229:E229"/>
    <mergeCell ref="F229:G229"/>
    <mergeCell ref="A265:I265"/>
    <mergeCell ref="B266:B268"/>
    <mergeCell ref="C266:C268"/>
    <mergeCell ref="D266:E266"/>
    <mergeCell ref="F266:G266"/>
    <mergeCell ref="H266:H268"/>
    <mergeCell ref="I266:I268"/>
    <mergeCell ref="D267:E267"/>
    <mergeCell ref="B220:B229"/>
    <mergeCell ref="C220:C229"/>
    <mergeCell ref="D220:E220"/>
    <mergeCell ref="F220:G220"/>
    <mergeCell ref="H220:H229"/>
    <mergeCell ref="I220:I229"/>
    <mergeCell ref="D221:E221"/>
    <mergeCell ref="F221:G221"/>
    <mergeCell ref="D222:E222"/>
    <mergeCell ref="F222:G222"/>
    <mergeCell ref="F267:G267"/>
    <mergeCell ref="D268:E268"/>
    <mergeCell ref="F268:G268"/>
    <mergeCell ref="D226:E226"/>
    <mergeCell ref="F226:G226"/>
    <mergeCell ref="D227:E227"/>
    <mergeCell ref="F227:G227"/>
    <mergeCell ref="D228:E228"/>
    <mergeCell ref="F228:G228"/>
    <mergeCell ref="D223:E223"/>
    <mergeCell ref="F223:G223"/>
    <mergeCell ref="D224:E224"/>
    <mergeCell ref="F224:G224"/>
    <mergeCell ref="D225:E225"/>
    <mergeCell ref="F225:G225"/>
    <mergeCell ref="H210:H219"/>
    <mergeCell ref="I210:I219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B210:B219"/>
    <mergeCell ref="C210:C219"/>
    <mergeCell ref="D210:E210"/>
    <mergeCell ref="F210:G210"/>
    <mergeCell ref="D215:E215"/>
    <mergeCell ref="F215:G215"/>
    <mergeCell ref="D216:E216"/>
    <mergeCell ref="F216:G216"/>
    <mergeCell ref="B200:B209"/>
    <mergeCell ref="C200:C209"/>
    <mergeCell ref="D200:E200"/>
    <mergeCell ref="F200:G200"/>
    <mergeCell ref="D217:E217"/>
    <mergeCell ref="F217:G217"/>
    <mergeCell ref="D218:E218"/>
    <mergeCell ref="F218:G218"/>
    <mergeCell ref="D219:E219"/>
    <mergeCell ref="F219:G219"/>
    <mergeCell ref="D207:E207"/>
    <mergeCell ref="F207:G207"/>
    <mergeCell ref="D208:E208"/>
    <mergeCell ref="F208:G208"/>
    <mergeCell ref="D203:E203"/>
    <mergeCell ref="F203:G203"/>
    <mergeCell ref="D204:E204"/>
    <mergeCell ref="F204:G204"/>
    <mergeCell ref="D205:E205"/>
    <mergeCell ref="F205:G205"/>
    <mergeCell ref="H200:H209"/>
    <mergeCell ref="I200:I209"/>
    <mergeCell ref="D201:E201"/>
    <mergeCell ref="F201:G201"/>
    <mergeCell ref="D202:E202"/>
    <mergeCell ref="F202:G202"/>
    <mergeCell ref="D206:E206"/>
    <mergeCell ref="F206:G206"/>
    <mergeCell ref="D209:E209"/>
    <mergeCell ref="F209:G209"/>
    <mergeCell ref="D197:E197"/>
    <mergeCell ref="F197:G197"/>
    <mergeCell ref="D198:E198"/>
    <mergeCell ref="F198:G198"/>
    <mergeCell ref="D199:E199"/>
    <mergeCell ref="F199:G199"/>
    <mergeCell ref="H190:H199"/>
    <mergeCell ref="I190:I199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89:E189"/>
    <mergeCell ref="F189:G189"/>
    <mergeCell ref="B190:B199"/>
    <mergeCell ref="C190:C199"/>
    <mergeCell ref="D190:E190"/>
    <mergeCell ref="F190:G190"/>
    <mergeCell ref="D195:E195"/>
    <mergeCell ref="F195:G195"/>
    <mergeCell ref="D196:E196"/>
    <mergeCell ref="F196:G196"/>
    <mergeCell ref="B180:B189"/>
    <mergeCell ref="C180:C189"/>
    <mergeCell ref="D180:E180"/>
    <mergeCell ref="F180:G180"/>
    <mergeCell ref="D187:E187"/>
    <mergeCell ref="F187:G187"/>
    <mergeCell ref="D188:E188"/>
    <mergeCell ref="F188:G188"/>
    <mergeCell ref="D183:E183"/>
    <mergeCell ref="F183:G183"/>
    <mergeCell ref="D184:E184"/>
    <mergeCell ref="F184:G184"/>
    <mergeCell ref="D185:E185"/>
    <mergeCell ref="F185:G185"/>
    <mergeCell ref="H180:H189"/>
    <mergeCell ref="I180:I189"/>
    <mergeCell ref="D181:E181"/>
    <mergeCell ref="F181:G181"/>
    <mergeCell ref="D182:E182"/>
    <mergeCell ref="F182:G182"/>
    <mergeCell ref="D177:E177"/>
    <mergeCell ref="F177:G177"/>
    <mergeCell ref="D178:E178"/>
    <mergeCell ref="F178:G178"/>
    <mergeCell ref="D179:E179"/>
    <mergeCell ref="F179:G179"/>
    <mergeCell ref="H170:H179"/>
    <mergeCell ref="I170:I179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86:E186"/>
    <mergeCell ref="F186:G186"/>
    <mergeCell ref="D169:E169"/>
    <mergeCell ref="F169:G169"/>
    <mergeCell ref="B170:B179"/>
    <mergeCell ref="C170:C179"/>
    <mergeCell ref="D170:E170"/>
    <mergeCell ref="F170:G170"/>
    <mergeCell ref="D175:E175"/>
    <mergeCell ref="F175:G175"/>
    <mergeCell ref="D176:E176"/>
    <mergeCell ref="F176:G176"/>
    <mergeCell ref="B160:B169"/>
    <mergeCell ref="C160:C169"/>
    <mergeCell ref="D160:E160"/>
    <mergeCell ref="F160:G160"/>
    <mergeCell ref="D167:E167"/>
    <mergeCell ref="F167:G167"/>
    <mergeCell ref="D168:E168"/>
    <mergeCell ref="F168:G168"/>
    <mergeCell ref="D163:E163"/>
    <mergeCell ref="F163:G163"/>
    <mergeCell ref="D164:E164"/>
    <mergeCell ref="F164:G164"/>
    <mergeCell ref="D165:E165"/>
    <mergeCell ref="F165:G165"/>
    <mergeCell ref="H160:H169"/>
    <mergeCell ref="I160:I169"/>
    <mergeCell ref="D161:E161"/>
    <mergeCell ref="F161:G161"/>
    <mergeCell ref="D162:E162"/>
    <mergeCell ref="F162:G162"/>
    <mergeCell ref="D157:E157"/>
    <mergeCell ref="F157:G157"/>
    <mergeCell ref="D158:E158"/>
    <mergeCell ref="F158:G158"/>
    <mergeCell ref="D159:E159"/>
    <mergeCell ref="F159:G159"/>
    <mergeCell ref="H150:H159"/>
    <mergeCell ref="I150:I159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66:E166"/>
    <mergeCell ref="F166:G166"/>
    <mergeCell ref="D149:E149"/>
    <mergeCell ref="F149:G149"/>
    <mergeCell ref="B150:B159"/>
    <mergeCell ref="C150:C159"/>
    <mergeCell ref="D150:E150"/>
    <mergeCell ref="F150:G150"/>
    <mergeCell ref="D155:E155"/>
    <mergeCell ref="F155:G155"/>
    <mergeCell ref="D156:E156"/>
    <mergeCell ref="F156:G156"/>
    <mergeCell ref="B140:B149"/>
    <mergeCell ref="C140:C149"/>
    <mergeCell ref="D140:E140"/>
    <mergeCell ref="F140:G140"/>
    <mergeCell ref="D147:E147"/>
    <mergeCell ref="F147:G147"/>
    <mergeCell ref="D148:E148"/>
    <mergeCell ref="F148:G148"/>
    <mergeCell ref="D143:E143"/>
    <mergeCell ref="F143:G143"/>
    <mergeCell ref="D144:E144"/>
    <mergeCell ref="F144:G144"/>
    <mergeCell ref="D145:E145"/>
    <mergeCell ref="F145:G145"/>
    <mergeCell ref="H140:H149"/>
    <mergeCell ref="I140:I149"/>
    <mergeCell ref="D141:E141"/>
    <mergeCell ref="F141:G141"/>
    <mergeCell ref="D142:E142"/>
    <mergeCell ref="F142:G142"/>
    <mergeCell ref="D137:E137"/>
    <mergeCell ref="F137:G137"/>
    <mergeCell ref="D138:E138"/>
    <mergeCell ref="F138:G138"/>
    <mergeCell ref="D139:E139"/>
    <mergeCell ref="F139:G139"/>
    <mergeCell ref="H130:H139"/>
    <mergeCell ref="I130:I139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46:E146"/>
    <mergeCell ref="F146:G146"/>
    <mergeCell ref="D129:E129"/>
    <mergeCell ref="F129:G129"/>
    <mergeCell ref="B130:B139"/>
    <mergeCell ref="C130:C139"/>
    <mergeCell ref="D130:E130"/>
    <mergeCell ref="F130:G130"/>
    <mergeCell ref="D135:E135"/>
    <mergeCell ref="F135:G135"/>
    <mergeCell ref="D136:E136"/>
    <mergeCell ref="F136:G136"/>
    <mergeCell ref="B120:B129"/>
    <mergeCell ref="C120:C129"/>
    <mergeCell ref="D120:E120"/>
    <mergeCell ref="F120:G120"/>
    <mergeCell ref="D127:E127"/>
    <mergeCell ref="F127:G127"/>
    <mergeCell ref="D128:E128"/>
    <mergeCell ref="F128:G128"/>
    <mergeCell ref="D123:E123"/>
    <mergeCell ref="F123:G123"/>
    <mergeCell ref="D124:E124"/>
    <mergeCell ref="F124:G124"/>
    <mergeCell ref="D125:E125"/>
    <mergeCell ref="F125:G125"/>
    <mergeCell ref="H120:H129"/>
    <mergeCell ref="I120:I129"/>
    <mergeCell ref="D121:E121"/>
    <mergeCell ref="F121:G121"/>
    <mergeCell ref="D122:E122"/>
    <mergeCell ref="F122:G122"/>
    <mergeCell ref="D115:E115"/>
    <mergeCell ref="F115:G115"/>
    <mergeCell ref="D116:E116"/>
    <mergeCell ref="F116:G116"/>
    <mergeCell ref="D117:E117"/>
    <mergeCell ref="F117:G117"/>
    <mergeCell ref="H108:H117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26:E126"/>
    <mergeCell ref="F126:G126"/>
    <mergeCell ref="D107:E107"/>
    <mergeCell ref="F107:G10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B98:B107"/>
    <mergeCell ref="C98:C107"/>
    <mergeCell ref="D98:E98"/>
    <mergeCell ref="F98:G98"/>
    <mergeCell ref="D105:E105"/>
    <mergeCell ref="F105:G105"/>
    <mergeCell ref="D106:E106"/>
    <mergeCell ref="F106:G106"/>
    <mergeCell ref="D101:E101"/>
    <mergeCell ref="F101:G101"/>
    <mergeCell ref="D102:E102"/>
    <mergeCell ref="F102:G102"/>
    <mergeCell ref="D103:E103"/>
    <mergeCell ref="F103:G103"/>
    <mergeCell ref="H98:H107"/>
    <mergeCell ref="I98:I107"/>
    <mergeCell ref="D99:E99"/>
    <mergeCell ref="F99:G99"/>
    <mergeCell ref="D100:E100"/>
    <mergeCell ref="F100:G100"/>
    <mergeCell ref="D95:E95"/>
    <mergeCell ref="F95:G95"/>
    <mergeCell ref="D96:E96"/>
    <mergeCell ref="F96:G96"/>
    <mergeCell ref="D97:E97"/>
    <mergeCell ref="F97:G97"/>
    <mergeCell ref="H88:H9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104:E104"/>
    <mergeCell ref="F104:G104"/>
    <mergeCell ref="D82:E82"/>
    <mergeCell ref="F82:G82"/>
    <mergeCell ref="D83:E83"/>
    <mergeCell ref="F83:G83"/>
    <mergeCell ref="D87:E87"/>
    <mergeCell ref="F87:G87"/>
    <mergeCell ref="B88:B97"/>
    <mergeCell ref="C88:C97"/>
    <mergeCell ref="D88:E88"/>
    <mergeCell ref="F88:G88"/>
    <mergeCell ref="D93:E93"/>
    <mergeCell ref="F93:G93"/>
    <mergeCell ref="D94:E94"/>
    <mergeCell ref="F94:G94"/>
    <mergeCell ref="B78:B87"/>
    <mergeCell ref="C78:C87"/>
    <mergeCell ref="D78:E78"/>
    <mergeCell ref="F78:G78"/>
    <mergeCell ref="H78:H87"/>
    <mergeCell ref="I78:I87"/>
    <mergeCell ref="D79:E79"/>
    <mergeCell ref="F79:G79"/>
    <mergeCell ref="D80:E80"/>
    <mergeCell ref="F80:G80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D84:E84"/>
    <mergeCell ref="F84:G84"/>
    <mergeCell ref="D85:E85"/>
    <mergeCell ref="F85:G85"/>
    <mergeCell ref="D86:E86"/>
    <mergeCell ref="F86:G86"/>
    <mergeCell ref="D81:E81"/>
    <mergeCell ref="F81:G81"/>
    <mergeCell ref="B68:B74"/>
    <mergeCell ref="C68:C74"/>
    <mergeCell ref="D68:E68"/>
    <mergeCell ref="F68:G68"/>
    <mergeCell ref="H68:H74"/>
    <mergeCell ref="F73:G73"/>
    <mergeCell ref="D74:E74"/>
    <mergeCell ref="F74:G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A64:I64"/>
    <mergeCell ref="B65:B67"/>
    <mergeCell ref="C65:C67"/>
    <mergeCell ref="D65:E65"/>
    <mergeCell ref="F65:G65"/>
    <mergeCell ref="H65:H67"/>
    <mergeCell ref="I65:I67"/>
    <mergeCell ref="D66:E66"/>
    <mergeCell ref="F66:G66"/>
    <mergeCell ref="D67:E67"/>
    <mergeCell ref="F67:G67"/>
    <mergeCell ref="D48:E48"/>
    <mergeCell ref="F48:G48"/>
    <mergeCell ref="D49:E49"/>
    <mergeCell ref="F49:G49"/>
    <mergeCell ref="D50:E50"/>
    <mergeCell ref="F50:G50"/>
    <mergeCell ref="D45:E45"/>
    <mergeCell ref="F45:G45"/>
    <mergeCell ref="D46:E46"/>
    <mergeCell ref="F46:G46"/>
    <mergeCell ref="D47:E47"/>
    <mergeCell ref="F47:G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41:E41"/>
    <mergeCell ref="F41:G41"/>
    <mergeCell ref="D27:E27"/>
    <mergeCell ref="F27:G27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H27:H50"/>
    <mergeCell ref="I27:I50"/>
    <mergeCell ref="D28:E28"/>
    <mergeCell ref="F28:G28"/>
    <mergeCell ref="D29:E29"/>
    <mergeCell ref="F29:G29"/>
    <mergeCell ref="B24:B26"/>
    <mergeCell ref="C24:C26"/>
    <mergeCell ref="D24:E24"/>
    <mergeCell ref="F24:G24"/>
    <mergeCell ref="H24:H26"/>
    <mergeCell ref="I24:I26"/>
    <mergeCell ref="D25:E25"/>
    <mergeCell ref="F25:G25"/>
    <mergeCell ref="D26:E26"/>
    <mergeCell ref="F26:G26"/>
    <mergeCell ref="D30:E30"/>
    <mergeCell ref="F30:G30"/>
    <mergeCell ref="D31:E31"/>
    <mergeCell ref="F31:G31"/>
    <mergeCell ref="D32:E32"/>
    <mergeCell ref="F32:G32"/>
    <mergeCell ref="B27:B50"/>
    <mergeCell ref="C27:C50"/>
    <mergeCell ref="B17:B23"/>
    <mergeCell ref="C17:C23"/>
    <mergeCell ref="D17:E17"/>
    <mergeCell ref="F17:G17"/>
    <mergeCell ref="H17:H23"/>
    <mergeCell ref="F22:G22"/>
    <mergeCell ref="D23:E23"/>
    <mergeCell ref="F23:G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B1:I1"/>
    <mergeCell ref="D2:I2"/>
    <mergeCell ref="A3:B3"/>
    <mergeCell ref="A4:B4"/>
    <mergeCell ref="D5:G5"/>
    <mergeCell ref="A6:I6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6</vt:i4>
      </vt:variant>
    </vt:vector>
  </HeadingPairs>
  <TitlesOfParts>
    <vt:vector size="13" baseType="lpstr">
      <vt:lpstr>Cover</vt:lpstr>
      <vt:lpstr>Spec.</vt:lpstr>
      <vt:lpstr>Flow</vt:lpstr>
      <vt:lpstr>Common Adress</vt:lpstr>
      <vt:lpstr>Loader Adress</vt:lpstr>
      <vt:lpstr>Pickling Adress</vt:lpstr>
      <vt:lpstr>Unoader Adress</vt:lpstr>
      <vt:lpstr>Spec.!Print_Area</vt:lpstr>
      <vt:lpstr>'Common Adress'!Print_Titles</vt:lpstr>
      <vt:lpstr>'Loader Adress'!Print_Titles</vt:lpstr>
      <vt:lpstr>'Pickling Adress'!Print_Titles</vt:lpstr>
      <vt:lpstr>Spec.!Print_Titles</vt:lpstr>
      <vt:lpstr>'Unoader Adress'!Print_Titles</vt:lpstr>
    </vt:vector>
  </TitlesOfParts>
  <Company>SEEC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IISG1</dc:creator>
  <cp:lastModifiedBy>YH.CHIU 邱一軒</cp:lastModifiedBy>
  <cp:lastPrinted>2002-12-11T07:52:10Z</cp:lastPrinted>
  <dcterms:created xsi:type="dcterms:W3CDTF">1999-06-10T02:21:15Z</dcterms:created>
  <dcterms:modified xsi:type="dcterms:W3CDTF">2026-04-15T00:30:52Z</dcterms:modified>
</cp:coreProperties>
</file>